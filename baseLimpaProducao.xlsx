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tt\Documents\estudosDeCaso\02.1_producao\"/>
    </mc:Choice>
  </mc:AlternateContent>
  <xr:revisionPtr revIDLastSave="0" documentId="13_ncr:1_{9B1EE8E1-9E6F-43B9-863D-A4A9AC326F93}" xr6:coauthVersionLast="47" xr6:coauthVersionMax="47" xr10:uidLastSave="{00000000-0000-0000-0000-000000000000}"/>
  <bookViews>
    <workbookView xWindow="-120" yWindow="-120" windowWidth="20730" windowHeight="11040" firstSheet="4" activeTab="5" xr2:uid="{181E1F16-FBC9-4A9C-AE1E-5E805197DF8E}"/>
  </bookViews>
  <sheets>
    <sheet name="Base_Analitica_Producao" sheetId="2" r:id="rId1"/>
    <sheet name="Análise Executiva" sheetId="6" r:id="rId2"/>
    <sheet name="Dashboard Executivo" sheetId="10" r:id="rId3"/>
    <sheet name="Análise Técnica de Eficiência" sheetId="11" r:id="rId4"/>
    <sheet name="Análise Detalhada MAQ03" sheetId="12" r:id="rId5"/>
    <sheet name="Análise Financeira Global" sheetId="13" r:id="rId6"/>
    <sheet name="Conclusão" sheetId="15" r:id="rId7"/>
  </sheets>
  <definedNames>
    <definedName name="DadosExternos_1" localSheetId="0" hidden="1">Base_Analitica_Producao!$A$1:$AF$333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13" l="1"/>
  <c r="I11" i="13"/>
  <c r="H12" i="13"/>
  <c r="H11" i="13"/>
  <c r="H10" i="13"/>
  <c r="L4" i="6"/>
  <c r="I10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804F2C-66F1-44D3-B539-19C72B304B01}" keepAlive="1" name="Consulta - Base_Analitica_Producao" description="Conexão com a consulta 'Base_Analitica_Producao' na pasta de trabalho." type="5" refreshedVersion="7" background="1" saveData="1">
    <dbPr connection="Provider=Microsoft.Mashup.OleDb.1;Data Source=$Workbook$;Location=Base_Analitica_Producao;Extended Properties=&quot;&quot;" command="SELECT * FROM [Base_Analitica_Producao]"/>
  </connection>
</connections>
</file>

<file path=xl/sharedStrings.xml><?xml version="1.0" encoding="utf-8"?>
<sst xmlns="http://schemas.openxmlformats.org/spreadsheetml/2006/main" count="3555" uniqueCount="493">
  <si>
    <t>id_registro</t>
  </si>
  <si>
    <t>data_inicio</t>
  </si>
  <si>
    <t>data_fim</t>
  </si>
  <si>
    <t>hora_inicio</t>
  </si>
  <si>
    <t>hora_fim</t>
  </si>
  <si>
    <t>turno</t>
  </si>
  <si>
    <t>id_ordem_producao</t>
  </si>
  <si>
    <t>local_de_envio</t>
  </si>
  <si>
    <t>id_produto</t>
  </si>
  <si>
    <t>nome_produto</t>
  </si>
  <si>
    <t>id_maquina</t>
  </si>
  <si>
    <t>id_linha_producao</t>
  </si>
  <si>
    <t>quantidade_planejada_hora</t>
  </si>
  <si>
    <t>tempo_ciclo_teorico_segundos</t>
  </si>
  <si>
    <t>tempo_producao_planejado_minutos</t>
  </si>
  <si>
    <t>tempo_parada_minutos</t>
  </si>
  <si>
    <t>motivo_parada</t>
  </si>
  <si>
    <t>quantidade_produzida_total</t>
  </si>
  <si>
    <t>quantidade_boa</t>
  </si>
  <si>
    <t>quantidade_refugada</t>
  </si>
  <si>
    <t>id_operador</t>
  </si>
  <si>
    <t>nome_operador</t>
  </si>
  <si>
    <t>tempo_em_operacao</t>
  </si>
  <si>
    <t>disponibilidade</t>
  </si>
  <si>
    <t>performance</t>
  </si>
  <si>
    <t>qualidade</t>
  </si>
  <si>
    <t>oee</t>
  </si>
  <si>
    <t>Manha</t>
  </si>
  <si>
    <t>OP001</t>
  </si>
  <si>
    <t>Sao Paulo</t>
  </si>
  <si>
    <t>PROD_A</t>
  </si>
  <si>
    <t>Componente Alfa</t>
  </si>
  <si>
    <t>MAQ01</t>
  </si>
  <si>
    <t>LINHA01</t>
  </si>
  <si>
    <t>Setup</t>
  </si>
  <si>
    <t>OP101</t>
  </si>
  <si>
    <t>Paulo</t>
  </si>
  <si>
    <t>OP002</t>
  </si>
  <si>
    <t>Piaui</t>
  </si>
  <si>
    <t/>
  </si>
  <si>
    <t>OP003</t>
  </si>
  <si>
    <t>Manutencao Corretiva</t>
  </si>
  <si>
    <t>OP102</t>
  </si>
  <si>
    <t>Davi</t>
  </si>
  <si>
    <t>OP004</t>
  </si>
  <si>
    <t>PROD_B</t>
  </si>
  <si>
    <t>Peca Beta</t>
  </si>
  <si>
    <t>MAQ02</t>
  </si>
  <si>
    <t>Ajuste Ferramenta</t>
  </si>
  <si>
    <t>OP103</t>
  </si>
  <si>
    <t>Joao</t>
  </si>
  <si>
    <t>OP005</t>
  </si>
  <si>
    <t>OP006</t>
  </si>
  <si>
    <t>Falta de Material</t>
  </si>
  <si>
    <t>OP104</t>
  </si>
  <si>
    <t>Anna</t>
  </si>
  <si>
    <t>Tarde</t>
  </si>
  <si>
    <t>OP007</t>
  </si>
  <si>
    <t>Bahia</t>
  </si>
  <si>
    <t>PROD_C</t>
  </si>
  <si>
    <t>Conjunto Gama</t>
  </si>
  <si>
    <t>MAQ03</t>
  </si>
  <si>
    <t>LINHA02</t>
  </si>
  <si>
    <t>OP201</t>
  </si>
  <si>
    <t>Lucia</t>
  </si>
  <si>
    <t>OP008</t>
  </si>
  <si>
    <t>OP009</t>
  </si>
  <si>
    <t>Para</t>
  </si>
  <si>
    <t>Problema Eletrico</t>
  </si>
  <si>
    <t>OP202</t>
  </si>
  <si>
    <t>Mariana</t>
  </si>
  <si>
    <t>OP010</t>
  </si>
  <si>
    <t>OP203</t>
  </si>
  <si>
    <t>Jorge</t>
  </si>
  <si>
    <t>OP011</t>
  </si>
  <si>
    <t>OP301</t>
  </si>
  <si>
    <t>Luis</t>
  </si>
  <si>
    <t>OP012</t>
  </si>
  <si>
    <t>Ajuste Rapido</t>
  </si>
  <si>
    <t>OP013</t>
  </si>
  <si>
    <t>Parana</t>
  </si>
  <si>
    <t>OP014</t>
  </si>
  <si>
    <t>Manutencao Preventiva Programada</t>
  </si>
  <si>
    <t>OP015</t>
  </si>
  <si>
    <t>Mato Grosso do Sul</t>
  </si>
  <si>
    <t>Setup Pos Manutencao</t>
  </si>
  <si>
    <t>OP016</t>
  </si>
  <si>
    <t>OP017</t>
  </si>
  <si>
    <t>Falta de Componente Secundario</t>
  </si>
  <si>
    <t>OP018</t>
  </si>
  <si>
    <t>OP019</t>
  </si>
  <si>
    <t>Goias</t>
  </si>
  <si>
    <t>Limpeza</t>
  </si>
  <si>
    <t>OP020</t>
  </si>
  <si>
    <t>OP021</t>
  </si>
  <si>
    <t>Quebra Ferramenta</t>
  </si>
  <si>
    <t>Noite</t>
  </si>
  <si>
    <t>OP022</t>
  </si>
  <si>
    <t>Minas Gerais</t>
  </si>
  <si>
    <t>OP302</t>
  </si>
  <si>
    <t>Jose</t>
  </si>
  <si>
    <t>OP023</t>
  </si>
  <si>
    <t>Falta Operador Treinado</t>
  </si>
  <si>
    <t>OP024</t>
  </si>
  <si>
    <t>Setup Inicio Turno</t>
  </si>
  <si>
    <t>OP025</t>
  </si>
  <si>
    <t>OP026</t>
  </si>
  <si>
    <t>OP027</t>
  </si>
  <si>
    <t>OP028</t>
  </si>
  <si>
    <t>OP029</t>
  </si>
  <si>
    <t>OP030</t>
  </si>
  <si>
    <t>OP031</t>
  </si>
  <si>
    <t>OP032</t>
  </si>
  <si>
    <t>OP033</t>
  </si>
  <si>
    <t>OP034</t>
  </si>
  <si>
    <t>OP035</t>
  </si>
  <si>
    <t>OP036</t>
  </si>
  <si>
    <t>Rio de Janeiro</t>
  </si>
  <si>
    <t>OP037</t>
  </si>
  <si>
    <t>OP038</t>
  </si>
  <si>
    <t>OP039</t>
  </si>
  <si>
    <t>OP040</t>
  </si>
  <si>
    <t>OP041</t>
  </si>
  <si>
    <t>OP042</t>
  </si>
  <si>
    <t>OP043</t>
  </si>
  <si>
    <t>OP044</t>
  </si>
  <si>
    <t>OP045</t>
  </si>
  <si>
    <t>OP046</t>
  </si>
  <si>
    <t>OP047</t>
  </si>
  <si>
    <t>OP048</t>
  </si>
  <si>
    <t>OP049</t>
  </si>
  <si>
    <t>OP050</t>
  </si>
  <si>
    <t>OP051</t>
  </si>
  <si>
    <t>OP052</t>
  </si>
  <si>
    <t>OP053</t>
  </si>
  <si>
    <t>OP054</t>
  </si>
  <si>
    <t>OP055</t>
  </si>
  <si>
    <t>OP056</t>
  </si>
  <si>
    <t>OP057</t>
  </si>
  <si>
    <t>OP058</t>
  </si>
  <si>
    <t>OP059</t>
  </si>
  <si>
    <t>OP060</t>
  </si>
  <si>
    <t>OP061</t>
  </si>
  <si>
    <t>OP062</t>
  </si>
  <si>
    <t>OP063</t>
  </si>
  <si>
    <t>OP064</t>
  </si>
  <si>
    <t>OP065</t>
  </si>
  <si>
    <t>OP066</t>
  </si>
  <si>
    <t>OP067</t>
  </si>
  <si>
    <t>OP068</t>
  </si>
  <si>
    <t>OP069</t>
  </si>
  <si>
    <t>OP070</t>
  </si>
  <si>
    <t>OP071</t>
  </si>
  <si>
    <t>OP072</t>
  </si>
  <si>
    <t>OP073</t>
  </si>
  <si>
    <t>OP074</t>
  </si>
  <si>
    <t>OP075</t>
  </si>
  <si>
    <t>OP076</t>
  </si>
  <si>
    <t>OP077</t>
  </si>
  <si>
    <t>OP078</t>
  </si>
  <si>
    <t>OP079</t>
  </si>
  <si>
    <t>OP080</t>
  </si>
  <si>
    <t>OP081</t>
  </si>
  <si>
    <t>OP082</t>
  </si>
  <si>
    <t>OP083</t>
  </si>
  <si>
    <t>OP084</t>
  </si>
  <si>
    <t>OP085</t>
  </si>
  <si>
    <t>OP086</t>
  </si>
  <si>
    <t>OP087</t>
  </si>
  <si>
    <t>OP088</t>
  </si>
  <si>
    <t>OP089</t>
  </si>
  <si>
    <t>OP090</t>
  </si>
  <si>
    <t>OP091</t>
  </si>
  <si>
    <t>OP092</t>
  </si>
  <si>
    <t>OP093</t>
  </si>
  <si>
    <t>OP094</t>
  </si>
  <si>
    <t>OP095</t>
  </si>
  <si>
    <t>OP096</t>
  </si>
  <si>
    <t>OP097</t>
  </si>
  <si>
    <t>OP098</t>
  </si>
  <si>
    <t>OP099</t>
  </si>
  <si>
    <t>OP100</t>
  </si>
  <si>
    <t>OP105</t>
  </si>
  <si>
    <t>OP106</t>
  </si>
  <si>
    <t>OP107</t>
  </si>
  <si>
    <t>OP108</t>
  </si>
  <si>
    <t>OP109</t>
  </si>
  <si>
    <t>OP110</t>
  </si>
  <si>
    <t>OP111</t>
  </si>
  <si>
    <t>OP112</t>
  </si>
  <si>
    <t>OP113</t>
  </si>
  <si>
    <t>OP114</t>
  </si>
  <si>
    <t>OP115</t>
  </si>
  <si>
    <t>OP116</t>
  </si>
  <si>
    <t>OP117</t>
  </si>
  <si>
    <t>OP118</t>
  </si>
  <si>
    <t>OP119</t>
  </si>
  <si>
    <t>OP120</t>
  </si>
  <si>
    <t>OP121</t>
  </si>
  <si>
    <t>OP122</t>
  </si>
  <si>
    <t>OP123</t>
  </si>
  <si>
    <t>OP124</t>
  </si>
  <si>
    <t>OP125</t>
  </si>
  <si>
    <t>OP126</t>
  </si>
  <si>
    <t>OP127</t>
  </si>
  <si>
    <t>OP128</t>
  </si>
  <si>
    <t>OP129</t>
  </si>
  <si>
    <t>OP130</t>
  </si>
  <si>
    <t>OP131</t>
  </si>
  <si>
    <t>OP132</t>
  </si>
  <si>
    <t>OP133</t>
  </si>
  <si>
    <t>OP134</t>
  </si>
  <si>
    <t>OP135</t>
  </si>
  <si>
    <t>OP136</t>
  </si>
  <si>
    <t>OP137</t>
  </si>
  <si>
    <t>OP138</t>
  </si>
  <si>
    <t>OP139</t>
  </si>
  <si>
    <t>OP140</t>
  </si>
  <si>
    <t>OP141</t>
  </si>
  <si>
    <t>OP142</t>
  </si>
  <si>
    <t>OP143</t>
  </si>
  <si>
    <t>OP144</t>
  </si>
  <si>
    <t>OP145</t>
  </si>
  <si>
    <t>OP146</t>
  </si>
  <si>
    <t>OP147</t>
  </si>
  <si>
    <t>OP148</t>
  </si>
  <si>
    <t>OP149</t>
  </si>
  <si>
    <t>OP150</t>
  </si>
  <si>
    <t>OP151</t>
  </si>
  <si>
    <t>OP152</t>
  </si>
  <si>
    <t>OP153</t>
  </si>
  <si>
    <t>OP154</t>
  </si>
  <si>
    <t>OP155</t>
  </si>
  <si>
    <t>OP156</t>
  </si>
  <si>
    <t>OP157</t>
  </si>
  <si>
    <t>OP158</t>
  </si>
  <si>
    <t>OP159</t>
  </si>
  <si>
    <t>OP160</t>
  </si>
  <si>
    <t>OP161</t>
  </si>
  <si>
    <t>OP162</t>
  </si>
  <si>
    <t>OP163</t>
  </si>
  <si>
    <t>OP164</t>
  </si>
  <si>
    <t>OP165</t>
  </si>
  <si>
    <t>OP166</t>
  </si>
  <si>
    <t>OP167</t>
  </si>
  <si>
    <t>OP168</t>
  </si>
  <si>
    <t>OP169</t>
  </si>
  <si>
    <t>OP170</t>
  </si>
  <si>
    <t>OP171</t>
  </si>
  <si>
    <t>OP172</t>
  </si>
  <si>
    <t>OP173</t>
  </si>
  <si>
    <t>OP174</t>
  </si>
  <si>
    <t>OP175</t>
  </si>
  <si>
    <t>OP176</t>
  </si>
  <si>
    <t>OP177</t>
  </si>
  <si>
    <t>OP178</t>
  </si>
  <si>
    <t>OP179</t>
  </si>
  <si>
    <t>OP180</t>
  </si>
  <si>
    <t>OP181</t>
  </si>
  <si>
    <t>OP182</t>
  </si>
  <si>
    <t>OP183</t>
  </si>
  <si>
    <t>OP184</t>
  </si>
  <si>
    <t>OP185</t>
  </si>
  <si>
    <t>OP186</t>
  </si>
  <si>
    <t>OP187</t>
  </si>
  <si>
    <t>OP188</t>
  </si>
  <si>
    <t>OP189</t>
  </si>
  <si>
    <t>OP190</t>
  </si>
  <si>
    <t>OP191</t>
  </si>
  <si>
    <t>OP192</t>
  </si>
  <si>
    <t>OP193</t>
  </si>
  <si>
    <t>OP194</t>
  </si>
  <si>
    <t>OP195</t>
  </si>
  <si>
    <t>OP196</t>
  </si>
  <si>
    <t>OP197</t>
  </si>
  <si>
    <t>OP198</t>
  </si>
  <si>
    <t>OP199</t>
  </si>
  <si>
    <t>OP200</t>
  </si>
  <si>
    <t>OP204</t>
  </si>
  <si>
    <t>OP205</t>
  </si>
  <si>
    <t>OP206</t>
  </si>
  <si>
    <t>OP207</t>
  </si>
  <si>
    <t>OP208</t>
  </si>
  <si>
    <t>OP209</t>
  </si>
  <si>
    <t>OP210</t>
  </si>
  <si>
    <t>OP211</t>
  </si>
  <si>
    <t>OP212</t>
  </si>
  <si>
    <t>OP213</t>
  </si>
  <si>
    <t>OP214</t>
  </si>
  <si>
    <t>OP215</t>
  </si>
  <si>
    <t>OP216</t>
  </si>
  <si>
    <t>OP217</t>
  </si>
  <si>
    <t>OP218</t>
  </si>
  <si>
    <t>OP219</t>
  </si>
  <si>
    <t>OP220</t>
  </si>
  <si>
    <t>OP221</t>
  </si>
  <si>
    <t>OP222</t>
  </si>
  <si>
    <t>OP223</t>
  </si>
  <si>
    <t>OP224</t>
  </si>
  <si>
    <t>OP225</t>
  </si>
  <si>
    <t>OP226</t>
  </si>
  <si>
    <t>OP227</t>
  </si>
  <si>
    <t>OP228</t>
  </si>
  <si>
    <t>OP229</t>
  </si>
  <si>
    <t>OP230</t>
  </si>
  <si>
    <t>OP231</t>
  </si>
  <si>
    <t>OP232</t>
  </si>
  <si>
    <t>OP233</t>
  </si>
  <si>
    <t>OP234</t>
  </si>
  <si>
    <t>OP235</t>
  </si>
  <si>
    <t>OP236</t>
  </si>
  <si>
    <t>OP237</t>
  </si>
  <si>
    <t>OP238</t>
  </si>
  <si>
    <t>OP239</t>
  </si>
  <si>
    <t>OP240</t>
  </si>
  <si>
    <t>OP241</t>
  </si>
  <si>
    <t>OP242</t>
  </si>
  <si>
    <t>OP243</t>
  </si>
  <si>
    <t>OP244</t>
  </si>
  <si>
    <t>OP245</t>
  </si>
  <si>
    <t>OP246</t>
  </si>
  <si>
    <t>OP247</t>
  </si>
  <si>
    <t>OP248</t>
  </si>
  <si>
    <t>OP249</t>
  </si>
  <si>
    <t>OP250</t>
  </si>
  <si>
    <t>OP251</t>
  </si>
  <si>
    <t>OP252</t>
  </si>
  <si>
    <t>OP253</t>
  </si>
  <si>
    <t>OP254</t>
  </si>
  <si>
    <t>OP255</t>
  </si>
  <si>
    <t>OP256</t>
  </si>
  <si>
    <t>OP257</t>
  </si>
  <si>
    <t>OP258</t>
  </si>
  <si>
    <t>OP259</t>
  </si>
  <si>
    <t>OP260</t>
  </si>
  <si>
    <t>OP261</t>
  </si>
  <si>
    <t>OP262</t>
  </si>
  <si>
    <t>OP263</t>
  </si>
  <si>
    <t>OP264</t>
  </si>
  <si>
    <t>OP265</t>
  </si>
  <si>
    <t>OP266</t>
  </si>
  <si>
    <t>OP267</t>
  </si>
  <si>
    <t>OP268</t>
  </si>
  <si>
    <t>OP269</t>
  </si>
  <si>
    <t>OP270</t>
  </si>
  <si>
    <t>OP271</t>
  </si>
  <si>
    <t>OP272</t>
  </si>
  <si>
    <t>OP273</t>
  </si>
  <si>
    <t>OP274</t>
  </si>
  <si>
    <t>OP275</t>
  </si>
  <si>
    <t>OP276</t>
  </si>
  <si>
    <t>OP277</t>
  </si>
  <si>
    <t>OP278</t>
  </si>
  <si>
    <t>OP279</t>
  </si>
  <si>
    <t>OP280</t>
  </si>
  <si>
    <t>OP281</t>
  </si>
  <si>
    <t>OP282</t>
  </si>
  <si>
    <t>OP283</t>
  </si>
  <si>
    <t>OP284</t>
  </si>
  <si>
    <t>OP285</t>
  </si>
  <si>
    <t>OP286</t>
  </si>
  <si>
    <t>OP287</t>
  </si>
  <si>
    <t>OP288</t>
  </si>
  <si>
    <t>OP289</t>
  </si>
  <si>
    <t>OP290</t>
  </si>
  <si>
    <t>OP291</t>
  </si>
  <si>
    <t>OP292</t>
  </si>
  <si>
    <t>OP293</t>
  </si>
  <si>
    <t>OP294</t>
  </si>
  <si>
    <t>OP295</t>
  </si>
  <si>
    <t>OP296</t>
  </si>
  <si>
    <t>OP297</t>
  </si>
  <si>
    <t>OP298</t>
  </si>
  <si>
    <t>OP299</t>
  </si>
  <si>
    <t>OP300</t>
  </si>
  <si>
    <t>OP303</t>
  </si>
  <si>
    <t>OP304</t>
  </si>
  <si>
    <t>OP305</t>
  </si>
  <si>
    <t>OP306</t>
  </si>
  <si>
    <t>OP307</t>
  </si>
  <si>
    <t>OP308</t>
  </si>
  <si>
    <t>OP309</t>
  </si>
  <si>
    <t>OP310</t>
  </si>
  <si>
    <t>OP311</t>
  </si>
  <si>
    <t>OP312</t>
  </si>
  <si>
    <t>OP313</t>
  </si>
  <si>
    <t>OP314</t>
  </si>
  <si>
    <t>OP315</t>
  </si>
  <si>
    <t>OP316</t>
  </si>
  <si>
    <t>OP317</t>
  </si>
  <si>
    <t>OP318</t>
  </si>
  <si>
    <t>OP319</t>
  </si>
  <si>
    <t>OP320</t>
  </si>
  <si>
    <t>OP321</t>
  </si>
  <si>
    <t>OP322</t>
  </si>
  <si>
    <t>OP323</t>
  </si>
  <si>
    <t>OP324</t>
  </si>
  <si>
    <t>OP325</t>
  </si>
  <si>
    <t>OP326</t>
  </si>
  <si>
    <t>OP327</t>
  </si>
  <si>
    <t>OP328</t>
  </si>
  <si>
    <t>OP329</t>
  </si>
  <si>
    <t>OP330</t>
  </si>
  <si>
    <t>OP331</t>
  </si>
  <si>
    <t>OP332</t>
  </si>
  <si>
    <t>custo_unitario</t>
  </si>
  <si>
    <t>perda_por_parada</t>
  </si>
  <si>
    <t>valor_realizado</t>
  </si>
  <si>
    <t>Total Geral</t>
  </si>
  <si>
    <t>prejuizo_refugo</t>
  </si>
  <si>
    <t>Média OEE</t>
  </si>
  <si>
    <t>Prejuízo Total</t>
  </si>
  <si>
    <t xml:space="preserve"> </t>
  </si>
  <si>
    <t>Valor Realizado</t>
  </si>
  <si>
    <t>Perda por Parada</t>
  </si>
  <si>
    <t>Perda Refugo</t>
  </si>
  <si>
    <t>% Prejuízo sobre Valor Realizado</t>
  </si>
  <si>
    <t>Máquina</t>
  </si>
  <si>
    <t>A MAQ03 é a com menor média de OEE</t>
  </si>
  <si>
    <t>A MAQ 03 é a que produz a maior perda financeira</t>
  </si>
  <si>
    <t>Perda por Refugo</t>
  </si>
  <si>
    <t>As maiores perdas são por parada</t>
  </si>
  <si>
    <r>
      <rPr>
        <b/>
        <sz val="11"/>
        <color theme="1"/>
        <rFont val="Calibri"/>
        <family val="2"/>
        <scheme val="minor"/>
      </rPr>
      <t>Insght :</t>
    </r>
    <r>
      <rPr>
        <sz val="11"/>
        <color theme="1"/>
        <rFont val="Calibri"/>
        <family val="2"/>
        <scheme val="minor"/>
      </rPr>
      <t xml:space="preserve"> A máquina 03 é a que apresenta o pior resultado em todos os pontos observados. A perda por paradas é tabém o maior indíce de perda financeira R$ 342.300,00, que representa mais da metade da perda financeira 62%. </t>
    </r>
  </si>
  <si>
    <t>Média de disponibilidade</t>
  </si>
  <si>
    <t>Média de performance</t>
  </si>
  <si>
    <t>Média de qualidade</t>
  </si>
  <si>
    <t>Tempo Parada(Min)</t>
  </si>
  <si>
    <t>% do Impacto</t>
  </si>
  <si>
    <t>% Acumulado</t>
  </si>
  <si>
    <t>Turno</t>
  </si>
  <si>
    <t>Tempo Pardada(Min.)</t>
  </si>
  <si>
    <t>Quantidade Refugada</t>
  </si>
  <si>
    <t>Diagnóstico Operacional da Eficiência Produtiva</t>
  </si>
  <si>
    <t>Visualmente, observa-se que a MAQ01 apresenta a maior estabilidade operacional, com seus indicadores de Disponibilidade, Performance e Qualidade distribuídos de forma equilibrada (próximos aos 90%). Em contrapartida, a MAQ03 demonstra um desequilíbrio crítico: opera com sobrecarga de velocidade (Performance &gt; 100%), o que gera uma queda drástica na Qualidade e Disponibilidade, tornando-a o maior gargalo da operação.</t>
  </si>
  <si>
    <t>Seção 1 – Decomposição do OEE</t>
  </si>
  <si>
    <t>Seção 2 – Causas de Parada</t>
  </si>
  <si>
    <t>A análise de Pareto identifica que apenas 4 causas concentram 72% do tempo total de parada (1.823 de 2.516 minutos). O Problema Elétrico é o maior vilão isolado, respondendo por 31% das perdas. Somado ao Setup (19%), Manutenção Corretiva (11%) e Falta de Operador Treinado (10%), fica claro que a solução desses quatro itens recuperaria quase 3/4 da disponibilidade perdida na produção.</t>
  </si>
  <si>
    <t>Seção 3 – Análise por Turno</t>
  </si>
  <si>
    <t>Soma de tempo_parada_minutos</t>
  </si>
  <si>
    <t>Motivo parada</t>
  </si>
  <si>
    <t>Turnos</t>
  </si>
  <si>
    <t>A análise dos dados revela que a ineficiência de 69% no turno da Noite, comparado ao da Manhã, está diretamente vinculada à gestão de pessoas. Enquanto os turnos diurnos lidam com setups e manutenções, o turno da Noite é paralisado exclusivamente pela falta de capacitação técnica, evidenciada pelos 262 minutos de parada por 'Falta de Operador Treinado' — o único motivo registrado para este turno.</t>
  </si>
  <si>
    <t>A partir da análise geral, a Máquina 03 se destaca negativamente, justificando uma investigação direcionada.</t>
  </si>
  <si>
    <t>Análise Detalhada MAQ03</t>
  </si>
  <si>
    <t>Seção 1 – Decomposição do OEE – MAQ03</t>
  </si>
  <si>
    <t>Média Disponibilidade</t>
  </si>
  <si>
    <t>Média Performance</t>
  </si>
  <si>
    <t>Média Qualidade</t>
  </si>
  <si>
    <t>1.1 Análise dos Componentes do OEE</t>
  </si>
  <si>
    <t>1.2 Relação Performance vs Qualidade</t>
  </si>
  <si>
    <t>Evidência Observada</t>
  </si>
  <si>
    <t>Hipótese Técnica</t>
  </si>
  <si>
    <t>Nota Técnica</t>
  </si>
  <si>
    <t>Tempo Parada</t>
  </si>
  <si>
    <t>%Tempo Parada</t>
  </si>
  <si>
    <t xml:space="preserve">% Percentual Acumulado </t>
  </si>
  <si>
    <t>Seção 2 – Análise das Paradas da MAQ03</t>
  </si>
  <si>
    <t>2.1 Análise das Paradas</t>
  </si>
  <si>
    <t>2.2 Distribuição por Turno</t>
  </si>
  <si>
    <t>Motivo Parada</t>
  </si>
  <si>
    <t>Tempo de Parada (Min)</t>
  </si>
  <si>
    <t xml:space="preserve">Evidências Observadas </t>
  </si>
  <si>
    <t>Seção 3  –  Impacto Financeiro da MAQ03</t>
  </si>
  <si>
    <t>Perda por Parada (R$)</t>
  </si>
  <si>
    <t>Perda por Refugo (R%)</t>
  </si>
  <si>
    <t>Perda Total (R$)</t>
  </si>
  <si>
    <t>perda_total</t>
  </si>
  <si>
    <t>3.1 Composição das Perdas – MAQ03</t>
  </si>
  <si>
    <t>3.2 Representatividade na Operação</t>
  </si>
  <si>
    <t>Perda Total</t>
  </si>
  <si>
    <t>% Participação</t>
  </si>
  <si>
    <t>4.1 Composição Geral das Perdas</t>
  </si>
  <si>
    <t>Seção 4 – Análise Financeira Global da Operação</t>
  </si>
  <si>
    <t>Análise Financeira Global da Operação</t>
  </si>
  <si>
    <t>Perda por Refudo</t>
  </si>
  <si>
    <t>Tipo de Perdas</t>
  </si>
  <si>
    <t>Parada</t>
  </si>
  <si>
    <t>Refugo</t>
  </si>
  <si>
    <t>Valor</t>
  </si>
  <si>
    <t>4.2 – Distribuição das Perdas por Máquina</t>
  </si>
  <si>
    <t>Soma Perda Total</t>
  </si>
  <si>
    <t>4.3 – Análise de Concentração Financeira</t>
  </si>
  <si>
    <t>% de Perda</t>
  </si>
  <si>
    <t>4.4 – Síntese Financeira Global</t>
  </si>
  <si>
    <t>Síntese Financeira da Operação</t>
  </si>
  <si>
    <t xml:space="preserve">Conclusão Estratégica </t>
  </si>
  <si>
    <t>Seção 5 – Conclusão Estratégica e Direcionamento de Prioridades</t>
  </si>
  <si>
    <t>5.1 Síntese Integrada do Diagnóstico</t>
  </si>
  <si>
    <t>5.2 Principais Evidências Consolidadas</t>
  </si>
  <si>
    <t>5.3 Interpretação Estratégica</t>
  </si>
  <si>
    <t>5.4 Direcionamento de Prioridade</t>
  </si>
  <si>
    <t>Rótulos de Linha</t>
  </si>
  <si>
    <t>Soma de tempo_parada_minutos2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</si>
</sst>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10" fontId="0" fillId="0" borderId="0" xfId="1" applyNumberFormat="1" applyFont="1"/>
    <xf numFmtId="165" fontId="0" fillId="0" borderId="0" xfId="2" applyNumberFormat="1" applyFont="1"/>
    <xf numFmtId="165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3" fillId="2" borderId="1" xfId="0" applyFont="1" applyFill="1" applyBorder="1"/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1" applyFont="1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left"/>
    </xf>
    <xf numFmtId="0" fontId="3" fillId="2" borderId="2" xfId="0" applyFont="1" applyFill="1" applyBorder="1" applyAlignment="1">
      <alignment horizontal="left"/>
    </xf>
    <xf numFmtId="165" fontId="3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left"/>
    </xf>
    <xf numFmtId="9" fontId="3" fillId="2" borderId="2" xfId="1" applyFont="1" applyFill="1" applyBorder="1" applyAlignment="1">
      <alignment horizontal="center"/>
    </xf>
    <xf numFmtId="0" fontId="0" fillId="0" borderId="0" xfId="0" applyBorder="1"/>
    <xf numFmtId="165" fontId="0" fillId="0" borderId="0" xfId="0" applyNumberFormat="1" applyBorder="1"/>
    <xf numFmtId="9" fontId="0" fillId="0" borderId="0" xfId="1" applyFont="1" applyBorder="1" applyAlignment="1">
      <alignment horizontal="center"/>
    </xf>
    <xf numFmtId="165" fontId="0" fillId="0" borderId="0" xfId="0" pivotButton="1" applyNumberFormat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130"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3" formatCode="0%"/>
    </dxf>
    <dxf>
      <numFmt numFmtId="14" formatCode="0.00%"/>
    </dxf>
    <dxf>
      <alignment horizontal="center"/>
    </dxf>
    <dxf>
      <numFmt numFmtId="165" formatCode="&quot;R$&quot;\ #,##0.00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numFmt numFmtId="13" formatCode="0%"/>
    </dxf>
    <dxf>
      <fill>
        <patternFill patternType="solid">
          <bgColor theme="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alignment horizontal="center"/>
    </dxf>
    <dxf>
      <numFmt numFmtId="13" formatCode="0%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numFmt numFmtId="13" formatCode="0%"/>
    </dxf>
    <dxf>
      <alignment horizontal="center"/>
    </dxf>
    <dxf>
      <alignment horizontal="center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" formatCode="0"/>
    </dxf>
    <dxf>
      <numFmt numFmtId="2" formatCode="0.00"/>
    </dxf>
    <dxf>
      <numFmt numFmtId="2" formatCode="0.00"/>
    </dxf>
    <dxf>
      <alignment horizontal="center"/>
    </dxf>
    <dxf>
      <numFmt numFmtId="13" formatCode="0%"/>
    </dxf>
    <dxf>
      <alignment horizontal="center"/>
    </dxf>
    <dxf>
      <numFmt numFmtId="165" formatCode="&quot;R$&quot;\ #,##0.00"/>
    </dxf>
    <dxf>
      <numFmt numFmtId="165" formatCode="&quot;R$&quot;\ #,##0.00"/>
    </dxf>
    <dxf>
      <alignment horizontal="center"/>
    </dxf>
    <dxf>
      <numFmt numFmtId="13" formatCode="0%"/>
    </dxf>
    <dxf>
      <alignment horizontal="center"/>
    </dxf>
    <dxf>
      <numFmt numFmtId="165" formatCode="&quot;R$&quot;\ #,##0.00"/>
    </dxf>
    <dxf>
      <numFmt numFmtId="165" formatCode="&quot;R$&quot;\ #,##0.00"/>
    </dxf>
    <dxf>
      <alignment horizontal="center"/>
    </dxf>
    <dxf>
      <numFmt numFmtId="13" formatCode="0%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numFmt numFmtId="13" formatCode="0%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numFmt numFmtId="13" formatCode="0%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numFmt numFmtId="13" formatCode="0%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numFmt numFmtId="165" formatCode="&quot;R$&quot;\ #,##0.00"/>
    </dxf>
    <dxf>
      <numFmt numFmtId="165" formatCode="&quot;R$&quot;\ 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Executiva!Tabela dinâmica9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OEE por Máquina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Executiva'!$C$10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4F2-4726-B1AE-FA4BD9444A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F2-4726-B1AE-FA4BD9444A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Executiva'!$B$11:$B$14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Executiva'!$C$11:$C$14</c:f>
              <c:numCache>
                <c:formatCode>0%</c:formatCode>
                <c:ptCount val="3"/>
                <c:pt idx="0">
                  <c:v>0.67594086021505351</c:v>
                </c:pt>
                <c:pt idx="1">
                  <c:v>0.75689964157706091</c:v>
                </c:pt>
                <c:pt idx="2">
                  <c:v>0.89479452054794473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2-4726-B1AE-FA4BD9444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009855"/>
        <c:axId val="1760645679"/>
      </c:barChart>
      <c:catAx>
        <c:axId val="16520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0645679"/>
        <c:crosses val="autoZero"/>
        <c:auto val="1"/>
        <c:lblAlgn val="ctr"/>
        <c:lblOffset val="100"/>
        <c:noMultiLvlLbl val="0"/>
      </c:catAx>
      <c:valAx>
        <c:axId val="17606456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520098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Executiva!Tabela dinâmica10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Prejuízo Total por Máquina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Executiva'!$C$34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30-4384-ADA2-9D535AE3C7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30-4384-ADA2-9D535AE3C7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Executiva'!$B$35:$B$38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Executiva'!$C$35:$C$38</c:f>
              <c:numCache>
                <c:formatCode>"R$"\ #,##0.00</c:formatCode>
                <c:ptCount val="3"/>
                <c:pt idx="0">
                  <c:v>383680</c:v>
                </c:pt>
                <c:pt idx="1">
                  <c:v>88080</c:v>
                </c:pt>
                <c:pt idx="2">
                  <c:v>80200.000400000004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0-4384-ADA2-9D535AE3C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5021967"/>
        <c:axId val="2025029039"/>
      </c:barChart>
      <c:catAx>
        <c:axId val="20250219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5029039"/>
        <c:crosses val="autoZero"/>
        <c:auto val="1"/>
        <c:lblAlgn val="ctr"/>
        <c:lblOffset val="100"/>
        <c:noMultiLvlLbl val="0"/>
      </c:catAx>
      <c:valAx>
        <c:axId val="2025029039"/>
        <c:scaling>
          <c:orientation val="minMax"/>
        </c:scaling>
        <c:delete val="0"/>
        <c:axPos val="t"/>
        <c:numFmt formatCode="&quot;R$&quot;\ 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502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Executiva!Tabela dinâmica11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Composição do Prejuízo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Executiva'!$C$58</c:f>
              <c:strCache>
                <c:ptCount val="1"/>
                <c:pt idx="0">
                  <c:v>Perda por Refugo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011-4E67-B732-241160C8C247}"/>
              </c:ext>
            </c:extLst>
          </c:dPt>
          <c:dLbls>
            <c:dLbl>
              <c:idx val="0"/>
              <c:layout>
                <c:manualLayout>
                  <c:x val="-8.3333333333333332E-3"/>
                  <c:y val="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11-4E67-B732-241160C8C2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Executiva'!$B$59:$B$62</c:f>
              <c:strCache>
                <c:ptCount val="3"/>
                <c:pt idx="0">
                  <c:v>MAQ03</c:v>
                </c:pt>
                <c:pt idx="1">
                  <c:v>MAQ01</c:v>
                </c:pt>
                <c:pt idx="2">
                  <c:v>MAQ02</c:v>
                </c:pt>
              </c:strCache>
            </c:strRef>
          </c:cat>
          <c:val>
            <c:numRef>
              <c:f>'Análise Executiva'!$C$59:$C$62</c:f>
              <c:numCache>
                <c:formatCode>"R$"\ #,##0.00</c:formatCode>
                <c:ptCount val="3"/>
                <c:pt idx="0">
                  <c:v>161760</c:v>
                </c:pt>
                <c:pt idx="1">
                  <c:v>14700</c:v>
                </c:pt>
                <c:pt idx="2">
                  <c:v>33200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1-4E67-B732-241160C8C247}"/>
            </c:ext>
          </c:extLst>
        </c:ser>
        <c:ser>
          <c:idx val="1"/>
          <c:order val="1"/>
          <c:tx>
            <c:strRef>
              <c:f>'Análise Executiva'!$D$58</c:f>
              <c:strCache>
                <c:ptCount val="1"/>
                <c:pt idx="0">
                  <c:v>Perda por Parada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Executiva'!$B$59:$B$62</c:f>
              <c:strCache>
                <c:ptCount val="3"/>
                <c:pt idx="0">
                  <c:v>MAQ03</c:v>
                </c:pt>
                <c:pt idx="1">
                  <c:v>MAQ01</c:v>
                </c:pt>
                <c:pt idx="2">
                  <c:v>MAQ02</c:v>
                </c:pt>
              </c:strCache>
            </c:strRef>
          </c:cat>
          <c:val>
            <c:numRef>
              <c:f>'Análise Executiva'!$D$59:$D$62</c:f>
              <c:numCache>
                <c:formatCode>"R$"\ #,##0.00</c:formatCode>
                <c:ptCount val="3"/>
                <c:pt idx="0">
                  <c:v>221920</c:v>
                </c:pt>
                <c:pt idx="1">
                  <c:v>65500.000400000004</c:v>
                </c:pt>
                <c:pt idx="2">
                  <c:v>54880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1-4E67-B732-241160C8C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646811487"/>
        <c:axId val="1741770927"/>
      </c:barChart>
      <c:catAx>
        <c:axId val="1646811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1770927"/>
        <c:crosses val="autoZero"/>
        <c:auto val="1"/>
        <c:lblAlgn val="ctr"/>
        <c:lblOffset val="100"/>
        <c:noMultiLvlLbl val="0"/>
      </c:catAx>
      <c:valAx>
        <c:axId val="1741770927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81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Executiva!Tabela dinâmica9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OEE por Máquina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4408612744240806E-2"/>
          <c:y val="0.2665985370571553"/>
          <c:w val="0.77488442203629038"/>
          <c:h val="0.58882670823897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'Análise Executiva'!$C$10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75-4BC6-AECA-7EA7FB17AE9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75-4BC6-AECA-7EA7FB17AE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Executiva'!$B$11:$B$14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Executiva'!$C$11:$C$14</c:f>
              <c:numCache>
                <c:formatCode>0%</c:formatCode>
                <c:ptCount val="3"/>
                <c:pt idx="0">
                  <c:v>0.67594086021505351</c:v>
                </c:pt>
                <c:pt idx="1">
                  <c:v>0.75689964157706091</c:v>
                </c:pt>
                <c:pt idx="2">
                  <c:v>0.89479452054794473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75-4BC6-AECA-7EA7FB17A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009855"/>
        <c:axId val="1760645679"/>
      </c:barChart>
      <c:catAx>
        <c:axId val="16520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0645679"/>
        <c:crosses val="autoZero"/>
        <c:auto val="1"/>
        <c:lblAlgn val="ctr"/>
        <c:lblOffset val="100"/>
        <c:noMultiLvlLbl val="0"/>
      </c:catAx>
      <c:valAx>
        <c:axId val="17606456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520098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Executiva!Tabela dinâmica10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Perda Total por Máquina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Executiva'!$C$34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8D-444C-9C15-4FB8C445B9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8D-444C-9C15-4FB8C445B9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8D-444C-9C15-4FB8C445B9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Executiva'!$B$35:$B$38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Executiva'!$C$35:$C$38</c:f>
              <c:numCache>
                <c:formatCode>"R$"\ #,##0.00</c:formatCode>
                <c:ptCount val="3"/>
                <c:pt idx="0">
                  <c:v>383680</c:v>
                </c:pt>
                <c:pt idx="1">
                  <c:v>88080</c:v>
                </c:pt>
                <c:pt idx="2">
                  <c:v>80200.000400000004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8D-444C-9C15-4FB8C445B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5021967"/>
        <c:axId val="2025029039"/>
      </c:barChart>
      <c:catAx>
        <c:axId val="20250219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5029039"/>
        <c:crosses val="autoZero"/>
        <c:auto val="1"/>
        <c:lblAlgn val="ctr"/>
        <c:lblOffset val="100"/>
        <c:noMultiLvlLbl val="0"/>
      </c:catAx>
      <c:valAx>
        <c:axId val="2025029039"/>
        <c:scaling>
          <c:orientation val="minMax"/>
        </c:scaling>
        <c:delete val="0"/>
        <c:axPos val="t"/>
        <c:numFmt formatCode="&quot;R$&quot;\ 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502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Executiva!Tabela dinâmica11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Composição do Prejuízo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Executiva'!$C$58</c:f>
              <c:strCache>
                <c:ptCount val="1"/>
                <c:pt idx="0">
                  <c:v>Perda por Refugo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3B0-4BED-816B-7CBB4CEA46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Executiva'!$B$59:$B$62</c:f>
              <c:strCache>
                <c:ptCount val="3"/>
                <c:pt idx="0">
                  <c:v>MAQ03</c:v>
                </c:pt>
                <c:pt idx="1">
                  <c:v>MAQ01</c:v>
                </c:pt>
                <c:pt idx="2">
                  <c:v>MAQ02</c:v>
                </c:pt>
              </c:strCache>
            </c:strRef>
          </c:cat>
          <c:val>
            <c:numRef>
              <c:f>'Análise Executiva'!$C$59:$C$62</c:f>
              <c:numCache>
                <c:formatCode>"R$"\ #,##0.00</c:formatCode>
                <c:ptCount val="3"/>
                <c:pt idx="0">
                  <c:v>161760</c:v>
                </c:pt>
                <c:pt idx="1">
                  <c:v>14700</c:v>
                </c:pt>
                <c:pt idx="2">
                  <c:v>33200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0-4BED-816B-7CBB4CEA469A}"/>
            </c:ext>
          </c:extLst>
        </c:ser>
        <c:ser>
          <c:idx val="1"/>
          <c:order val="1"/>
          <c:tx>
            <c:strRef>
              <c:f>'Análise Executiva'!$D$58</c:f>
              <c:strCache>
                <c:ptCount val="1"/>
                <c:pt idx="0">
                  <c:v>Perda por Parada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Executiva'!$B$59:$B$62</c:f>
              <c:strCache>
                <c:ptCount val="3"/>
                <c:pt idx="0">
                  <c:v>MAQ03</c:v>
                </c:pt>
                <c:pt idx="1">
                  <c:v>MAQ01</c:v>
                </c:pt>
                <c:pt idx="2">
                  <c:v>MAQ02</c:v>
                </c:pt>
              </c:strCache>
            </c:strRef>
          </c:cat>
          <c:val>
            <c:numRef>
              <c:f>'Análise Executiva'!$D$59:$D$62</c:f>
              <c:numCache>
                <c:formatCode>"R$"\ #,##0.00</c:formatCode>
                <c:ptCount val="3"/>
                <c:pt idx="0">
                  <c:v>221920</c:v>
                </c:pt>
                <c:pt idx="1">
                  <c:v>65500.000400000004</c:v>
                </c:pt>
                <c:pt idx="2">
                  <c:v>54880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B0-4BED-816B-7CBB4CEA4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100"/>
        <c:axId val="1646811487"/>
        <c:axId val="1741770927"/>
      </c:barChart>
      <c:catAx>
        <c:axId val="1646811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1770927"/>
        <c:crosses val="autoZero"/>
        <c:auto val="1"/>
        <c:lblAlgn val="ctr"/>
        <c:lblOffset val="100"/>
        <c:noMultiLvlLbl val="0"/>
      </c:catAx>
      <c:valAx>
        <c:axId val="1741770927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81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Técnica de Eficiência!Tabela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Análise dos Componentes do OEE por Máquina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Técnica de Eficiência'!$C$8</c:f>
              <c:strCache>
                <c:ptCount val="1"/>
                <c:pt idx="0">
                  <c:v>Média de disponibilidade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Técnica de Eficiência'!$B$9:$B$12</c:f>
              <c:strCache>
                <c:ptCount val="3"/>
                <c:pt idx="0">
                  <c:v>MAQ03</c:v>
                </c:pt>
                <c:pt idx="1">
                  <c:v>MAQ01</c:v>
                </c:pt>
                <c:pt idx="2">
                  <c:v>MAQ02</c:v>
                </c:pt>
              </c:strCache>
            </c:strRef>
          </c:cat>
          <c:val>
            <c:numRef>
              <c:f>'Análise Técnica de Eficiência'!$C$9:$C$12</c:f>
              <c:numCache>
                <c:formatCode>0%</c:formatCode>
                <c:ptCount val="3"/>
                <c:pt idx="0">
                  <c:v>0.75143369175627261</c:v>
                </c:pt>
                <c:pt idx="1">
                  <c:v>0.91027397260274001</c:v>
                </c:pt>
                <c:pt idx="2">
                  <c:v>0.93853046594982126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9-4786-AE28-E618422211FA}"/>
            </c:ext>
          </c:extLst>
        </c:ser>
        <c:ser>
          <c:idx val="1"/>
          <c:order val="1"/>
          <c:tx>
            <c:strRef>
              <c:f>'Análise Técnica de Eficiência'!$D$8</c:f>
              <c:strCache>
                <c:ptCount val="1"/>
                <c:pt idx="0">
                  <c:v>Média de 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Técnica de Eficiência'!$B$9:$B$12</c:f>
              <c:strCache>
                <c:ptCount val="3"/>
                <c:pt idx="0">
                  <c:v>MAQ03</c:v>
                </c:pt>
                <c:pt idx="1">
                  <c:v>MAQ01</c:v>
                </c:pt>
                <c:pt idx="2">
                  <c:v>MAQ02</c:v>
                </c:pt>
              </c:strCache>
            </c:strRef>
          </c:cat>
          <c:val>
            <c:numRef>
              <c:f>'Análise Técnica de Eficiência'!$D$9:$D$12</c:f>
              <c:numCache>
                <c:formatCode>0%</c:formatCode>
                <c:ptCount val="3"/>
                <c:pt idx="0">
                  <c:v>1.6501738720029664</c:v>
                </c:pt>
                <c:pt idx="1">
                  <c:v>1.0057943766783002</c:v>
                </c:pt>
                <c:pt idx="2">
                  <c:v>0.83259019176554683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9-4786-AE28-E618422211FA}"/>
            </c:ext>
          </c:extLst>
        </c:ser>
        <c:ser>
          <c:idx val="2"/>
          <c:order val="2"/>
          <c:tx>
            <c:strRef>
              <c:f>'Análise Técnica de Eficiência'!$E$8</c:f>
              <c:strCache>
                <c:ptCount val="1"/>
                <c:pt idx="0">
                  <c:v>Média de qualidade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Técnica de Eficiência'!$B$9:$B$12</c:f>
              <c:strCache>
                <c:ptCount val="3"/>
                <c:pt idx="0">
                  <c:v>MAQ03</c:v>
                </c:pt>
                <c:pt idx="1">
                  <c:v>MAQ01</c:v>
                </c:pt>
                <c:pt idx="2">
                  <c:v>MAQ02</c:v>
                </c:pt>
              </c:strCache>
            </c:strRef>
          </c:cat>
          <c:val>
            <c:numRef>
              <c:f>'Análise Técnica de Eficiência'!$E$9:$E$12</c:f>
              <c:numCache>
                <c:formatCode>0%</c:formatCode>
                <c:ptCount val="3"/>
                <c:pt idx="0">
                  <c:v>0.73933740062698572</c:v>
                </c:pt>
                <c:pt idx="1">
                  <c:v>0.97606050779323694</c:v>
                </c:pt>
                <c:pt idx="2">
                  <c:v>0.84696309801726666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9-4786-AE28-E61842221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974848"/>
        <c:axId val="983975680"/>
      </c:barChart>
      <c:catAx>
        <c:axId val="9839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3975680"/>
        <c:crosses val="autoZero"/>
        <c:auto val="1"/>
        <c:lblAlgn val="ctr"/>
        <c:lblOffset val="100"/>
        <c:noMultiLvlLbl val="0"/>
      </c:catAx>
      <c:valAx>
        <c:axId val="9839756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397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Técnica de Eficiência!Tabela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Distribuição do Tempo de Parada por Motivo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6987741363553E-2"/>
          <c:y val="0.13052882507333641"/>
          <c:w val="0.71910488520638061"/>
          <c:h val="0.6227172437070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'Análise Técnica de Eficiência'!$C$38</c:f>
              <c:strCache>
                <c:ptCount val="1"/>
                <c:pt idx="0">
                  <c:v>Tempo Parada(Min)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Técnica de Eficiência'!$B$39:$B$52</c:f>
              <c:strCache>
                <c:ptCount val="13"/>
                <c:pt idx="0">
                  <c:v>Problema Eletrico</c:v>
                </c:pt>
                <c:pt idx="1">
                  <c:v>Setup</c:v>
                </c:pt>
                <c:pt idx="2">
                  <c:v>Manutencao Corretiva</c:v>
                </c:pt>
                <c:pt idx="3">
                  <c:v>Falta Operador Treinado</c:v>
                </c:pt>
                <c:pt idx="4">
                  <c:v>Falta de Componente Secundario</c:v>
                </c:pt>
                <c:pt idx="5">
                  <c:v>Quebra Ferramenta</c:v>
                </c:pt>
                <c:pt idx="6">
                  <c:v>Manutencao Preventiva Programada</c:v>
                </c:pt>
                <c:pt idx="7">
                  <c:v>Limpeza</c:v>
                </c:pt>
                <c:pt idx="8">
                  <c:v>Setup Inicio Turno</c:v>
                </c:pt>
                <c:pt idx="9">
                  <c:v>Ajuste Rapido</c:v>
                </c:pt>
                <c:pt idx="10">
                  <c:v>Falta de Material</c:v>
                </c:pt>
                <c:pt idx="11">
                  <c:v>Ajuste Ferramenta</c:v>
                </c:pt>
                <c:pt idx="12">
                  <c:v>Setup Pos Manutencao</c:v>
                </c:pt>
              </c:strCache>
            </c:strRef>
          </c:cat>
          <c:val>
            <c:numRef>
              <c:f>'Análise Técnica de Eficiência'!$C$39:$C$52</c:f>
              <c:numCache>
                <c:formatCode>0</c:formatCode>
                <c:ptCount val="13"/>
                <c:pt idx="0">
                  <c:v>788</c:v>
                </c:pt>
                <c:pt idx="1">
                  <c:v>487</c:v>
                </c:pt>
                <c:pt idx="2">
                  <c:v>286</c:v>
                </c:pt>
                <c:pt idx="3">
                  <c:v>262</c:v>
                </c:pt>
                <c:pt idx="4">
                  <c:v>163</c:v>
                </c:pt>
                <c:pt idx="5">
                  <c:v>131</c:v>
                </c:pt>
                <c:pt idx="6">
                  <c:v>101</c:v>
                </c:pt>
                <c:pt idx="7">
                  <c:v>71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33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2-4E66-A819-8B59DA3C3B43}"/>
            </c:ext>
          </c:extLst>
        </c:ser>
        <c:ser>
          <c:idx val="1"/>
          <c:order val="1"/>
          <c:tx>
            <c:strRef>
              <c:f>'Análise Técnica de Eficiência'!$D$38</c:f>
              <c:strCache>
                <c:ptCount val="1"/>
                <c:pt idx="0">
                  <c:v>% do Impacto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Técnica de Eficiência'!$B$39:$B$52</c:f>
              <c:strCache>
                <c:ptCount val="13"/>
                <c:pt idx="0">
                  <c:v>Problema Eletrico</c:v>
                </c:pt>
                <c:pt idx="1">
                  <c:v>Setup</c:v>
                </c:pt>
                <c:pt idx="2">
                  <c:v>Manutencao Corretiva</c:v>
                </c:pt>
                <c:pt idx="3">
                  <c:v>Falta Operador Treinado</c:v>
                </c:pt>
                <c:pt idx="4">
                  <c:v>Falta de Componente Secundario</c:v>
                </c:pt>
                <c:pt idx="5">
                  <c:v>Quebra Ferramenta</c:v>
                </c:pt>
                <c:pt idx="6">
                  <c:v>Manutencao Preventiva Programada</c:v>
                </c:pt>
                <c:pt idx="7">
                  <c:v>Limpeza</c:v>
                </c:pt>
                <c:pt idx="8">
                  <c:v>Setup Inicio Turno</c:v>
                </c:pt>
                <c:pt idx="9">
                  <c:v>Ajuste Rapido</c:v>
                </c:pt>
                <c:pt idx="10">
                  <c:v>Falta de Material</c:v>
                </c:pt>
                <c:pt idx="11">
                  <c:v>Ajuste Ferramenta</c:v>
                </c:pt>
                <c:pt idx="12">
                  <c:v>Setup Pos Manutencao</c:v>
                </c:pt>
              </c:strCache>
            </c:strRef>
          </c:cat>
          <c:val>
            <c:numRef>
              <c:f>'Análise Técnica de Eficiência'!$D$39:$D$52</c:f>
              <c:numCache>
                <c:formatCode>0%</c:formatCode>
                <c:ptCount val="13"/>
                <c:pt idx="0">
                  <c:v>0.31319554848966613</c:v>
                </c:pt>
                <c:pt idx="1">
                  <c:v>0.19356120826709061</c:v>
                </c:pt>
                <c:pt idx="2">
                  <c:v>0.11367249602543721</c:v>
                </c:pt>
                <c:pt idx="3">
                  <c:v>0.1041335453100159</c:v>
                </c:pt>
                <c:pt idx="4">
                  <c:v>6.4785373608903019E-2</c:v>
                </c:pt>
                <c:pt idx="5">
                  <c:v>5.2066772655007948E-2</c:v>
                </c:pt>
                <c:pt idx="6">
                  <c:v>4.0143084260731321E-2</c:v>
                </c:pt>
                <c:pt idx="7">
                  <c:v>2.8219395866454691E-2</c:v>
                </c:pt>
                <c:pt idx="8">
                  <c:v>2.3052464228934817E-2</c:v>
                </c:pt>
                <c:pt idx="9">
                  <c:v>2.3052464228934817E-2</c:v>
                </c:pt>
                <c:pt idx="10">
                  <c:v>2.3052464228934817E-2</c:v>
                </c:pt>
                <c:pt idx="11">
                  <c:v>1.3116057233704292E-2</c:v>
                </c:pt>
                <c:pt idx="12">
                  <c:v>7.9491255961844191E-3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2-4E66-A819-8B59DA3C3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94430368"/>
        <c:axId val="994431616"/>
      </c:barChart>
      <c:lineChart>
        <c:grouping val="standard"/>
        <c:varyColors val="0"/>
        <c:ser>
          <c:idx val="2"/>
          <c:order val="2"/>
          <c:tx>
            <c:strRef>
              <c:f>'Análise Técnica de Eficiência'!$E$38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Técnica de Eficiência'!$B$39:$B$52</c:f>
              <c:strCache>
                <c:ptCount val="13"/>
                <c:pt idx="0">
                  <c:v>Problema Eletrico</c:v>
                </c:pt>
                <c:pt idx="1">
                  <c:v>Setup</c:v>
                </c:pt>
                <c:pt idx="2">
                  <c:v>Manutencao Corretiva</c:v>
                </c:pt>
                <c:pt idx="3">
                  <c:v>Falta Operador Treinado</c:v>
                </c:pt>
                <c:pt idx="4">
                  <c:v>Falta de Componente Secundario</c:v>
                </c:pt>
                <c:pt idx="5">
                  <c:v>Quebra Ferramenta</c:v>
                </c:pt>
                <c:pt idx="6">
                  <c:v>Manutencao Preventiva Programada</c:v>
                </c:pt>
                <c:pt idx="7">
                  <c:v>Limpeza</c:v>
                </c:pt>
                <c:pt idx="8">
                  <c:v>Setup Inicio Turno</c:v>
                </c:pt>
                <c:pt idx="9">
                  <c:v>Ajuste Rapido</c:v>
                </c:pt>
                <c:pt idx="10">
                  <c:v>Falta de Material</c:v>
                </c:pt>
                <c:pt idx="11">
                  <c:v>Ajuste Ferramenta</c:v>
                </c:pt>
                <c:pt idx="12">
                  <c:v>Setup Pos Manutencao</c:v>
                </c:pt>
              </c:strCache>
            </c:strRef>
          </c:cat>
          <c:val>
            <c:numRef>
              <c:f>'Análise Técnica de Eficiência'!$E$39:$E$52</c:f>
              <c:numCache>
                <c:formatCode>0%</c:formatCode>
                <c:ptCount val="13"/>
                <c:pt idx="0">
                  <c:v>0.31319554848966613</c:v>
                </c:pt>
                <c:pt idx="1">
                  <c:v>0.5067567567567568</c:v>
                </c:pt>
                <c:pt idx="2">
                  <c:v>0.62042925278219396</c:v>
                </c:pt>
                <c:pt idx="3">
                  <c:v>0.7245627980922098</c:v>
                </c:pt>
                <c:pt idx="4">
                  <c:v>0.78934817170111293</c:v>
                </c:pt>
                <c:pt idx="5">
                  <c:v>0.84141494435612085</c:v>
                </c:pt>
                <c:pt idx="6">
                  <c:v>0.88155802861685217</c:v>
                </c:pt>
                <c:pt idx="7">
                  <c:v>0.90977742448330678</c:v>
                </c:pt>
                <c:pt idx="8">
                  <c:v>0.93282988871224171</c:v>
                </c:pt>
                <c:pt idx="9">
                  <c:v>0.95588235294117652</c:v>
                </c:pt>
                <c:pt idx="10">
                  <c:v>0.97893481717011133</c:v>
                </c:pt>
                <c:pt idx="11">
                  <c:v>0.99205087440381556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72-4E66-A819-8B59DA3C3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432864"/>
        <c:axId val="994434112"/>
      </c:lineChart>
      <c:catAx>
        <c:axId val="99443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431616"/>
        <c:crosses val="autoZero"/>
        <c:auto val="1"/>
        <c:lblAlgn val="ctr"/>
        <c:lblOffset val="100"/>
        <c:tickLblSkip val="1"/>
        <c:noMultiLvlLbl val="0"/>
      </c:catAx>
      <c:valAx>
        <c:axId val="994431616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430368"/>
        <c:crosses val="autoZero"/>
        <c:crossBetween val="between"/>
      </c:valAx>
      <c:valAx>
        <c:axId val="994434112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432864"/>
        <c:crosses val="max"/>
        <c:crossBetween val="between"/>
      </c:valAx>
      <c:catAx>
        <c:axId val="994432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443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Técnica de Eficiência!Tabela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Desempenho Operacional por Turno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Técnica de Eficiência'!$C$92</c:f>
              <c:strCache>
                <c:ptCount val="1"/>
                <c:pt idx="0">
                  <c:v>Média OEE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Técnica de Eficiência'!$B$93:$B$96</c:f>
              <c:strCache>
                <c:ptCount val="3"/>
                <c:pt idx="0">
                  <c:v>Tarde</c:v>
                </c:pt>
                <c:pt idx="1">
                  <c:v>Manha</c:v>
                </c:pt>
                <c:pt idx="2">
                  <c:v>Noite</c:v>
                </c:pt>
              </c:strCache>
            </c:strRef>
          </c:cat>
          <c:val>
            <c:numRef>
              <c:f>'Análise Técnica de Eficiência'!$C$93:$C$96</c:f>
              <c:numCache>
                <c:formatCode>0%</c:formatCode>
                <c:ptCount val="3"/>
                <c:pt idx="0">
                  <c:v>0.78724885844748804</c:v>
                </c:pt>
                <c:pt idx="1">
                  <c:v>0.8140411646586343</c:v>
                </c:pt>
                <c:pt idx="2">
                  <c:v>0.69125000000000036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7-4DEE-A0CC-DD74B5B77B13}"/>
            </c:ext>
          </c:extLst>
        </c:ser>
        <c:ser>
          <c:idx val="1"/>
          <c:order val="1"/>
          <c:tx>
            <c:strRef>
              <c:f>'Análise Técnica de Eficiência'!$D$92</c:f>
              <c:strCache>
                <c:ptCount val="1"/>
                <c:pt idx="0">
                  <c:v>Tempo Pardada(Min.)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Técnica de Eficiência'!$B$93:$B$96</c:f>
              <c:strCache>
                <c:ptCount val="3"/>
                <c:pt idx="0">
                  <c:v>Tarde</c:v>
                </c:pt>
                <c:pt idx="1">
                  <c:v>Manha</c:v>
                </c:pt>
                <c:pt idx="2">
                  <c:v>Noite</c:v>
                </c:pt>
              </c:strCache>
            </c:strRef>
          </c:cat>
          <c:val>
            <c:numRef>
              <c:f>'Análise Técnica de Eficiência'!$D$93:$D$96</c:f>
              <c:numCache>
                <c:formatCode>General</c:formatCode>
                <c:ptCount val="3"/>
                <c:pt idx="0">
                  <c:v>1375</c:v>
                </c:pt>
                <c:pt idx="1">
                  <c:v>879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7-4DEE-A0CC-DD74B5B77B13}"/>
            </c:ext>
          </c:extLst>
        </c:ser>
        <c:ser>
          <c:idx val="2"/>
          <c:order val="2"/>
          <c:tx>
            <c:strRef>
              <c:f>'Análise Técnica de Eficiência'!$E$92</c:f>
              <c:strCache>
                <c:ptCount val="1"/>
                <c:pt idx="0">
                  <c:v>Quantidade Refugada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Técnica de Eficiência'!$B$93:$B$96</c:f>
              <c:strCache>
                <c:ptCount val="3"/>
                <c:pt idx="0">
                  <c:v>Tarde</c:v>
                </c:pt>
                <c:pt idx="1">
                  <c:v>Manha</c:v>
                </c:pt>
                <c:pt idx="2">
                  <c:v>Noite</c:v>
                </c:pt>
              </c:strCache>
            </c:strRef>
          </c:cat>
          <c:val>
            <c:numRef>
              <c:f>'Análise Técnica de Eficiência'!$E$93:$E$96</c:f>
              <c:numCache>
                <c:formatCode>General</c:formatCode>
                <c:ptCount val="3"/>
                <c:pt idx="0">
                  <c:v>1232</c:v>
                </c:pt>
                <c:pt idx="1">
                  <c:v>533</c:v>
                </c:pt>
                <c:pt idx="2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7-4DEE-A0CC-DD74B5B7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707200"/>
        <c:axId val="908709280"/>
      </c:barChart>
      <c:catAx>
        <c:axId val="90870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8709280"/>
        <c:crosses val="autoZero"/>
        <c:auto val="1"/>
        <c:lblAlgn val="ctr"/>
        <c:lblOffset val="100"/>
        <c:noMultiLvlLbl val="0"/>
      </c:catAx>
      <c:valAx>
        <c:axId val="9087092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870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Técnica de Eficiência!Tabela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Impacto da Falta de Operador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269466316710411E-4"/>
              <c:y val="-0.216574074074074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Técnica de Eficiência'!$C$146</c:f>
              <c:strCache>
                <c:ptCount val="1"/>
                <c:pt idx="0">
                  <c:v>Soma de tempo_parada_minutos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7-412A-B6B4-33F9A3003C69}"/>
              </c:ext>
            </c:extLst>
          </c:dPt>
          <c:dLbls>
            <c:dLbl>
              <c:idx val="0"/>
              <c:layout>
                <c:manualLayout>
                  <c:x val="-1.9269466316710411E-4"/>
                  <c:y val="-0.216574074074074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47-412A-B6B4-33F9A3003C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Técnica de Eficiência'!$B$147:$B$148</c:f>
              <c:strCache>
                <c:ptCount val="1"/>
                <c:pt idx="0">
                  <c:v>Falta Operador Treinado</c:v>
                </c:pt>
              </c:strCache>
            </c:strRef>
          </c:cat>
          <c:val>
            <c:numRef>
              <c:f>'Análise Técnica de Eficiência'!$C$147:$C$148</c:f>
              <c:numCache>
                <c:formatCode>General</c:formatCode>
                <c:ptCount val="1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7-412A-B6B4-33F9A3003C69}"/>
            </c:ext>
          </c:extLst>
        </c:ser>
        <c:ser>
          <c:idx val="1"/>
          <c:order val="1"/>
          <c:tx>
            <c:strRef>
              <c:f>'Análise Técnica de Eficiência'!$D$146</c:f>
              <c:strCache>
                <c:ptCount val="1"/>
                <c:pt idx="0">
                  <c:v>Soma de tempo_parada_minutos2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A0-468D-AD66-B2FD57CC9768}"/>
              </c:ext>
            </c:extLst>
          </c:dPt>
          <c:cat>
            <c:strRef>
              <c:f>'Análise Técnica de Eficiência'!$B$147:$B$148</c:f>
              <c:strCache>
                <c:ptCount val="1"/>
                <c:pt idx="0">
                  <c:v>Falta Operador Treinado</c:v>
                </c:pt>
              </c:strCache>
            </c:strRef>
          </c:cat>
          <c:val>
            <c:numRef>
              <c:f>'Análise Técnica de Eficiência'!$D$147:$D$148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7-412A-B6B4-33F9A3003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Detalhada MAQ03!Tabela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Componentes do OEE – Análise Detalhada MAQ03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Detalhada MAQ03'!$C$11</c:f>
              <c:strCache>
                <c:ptCount val="1"/>
                <c:pt idx="0">
                  <c:v>Média Disponibilidade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MAQ03'!$B$12:$B$15</c:f>
              <c:strCache>
                <c:ptCount val="3"/>
                <c:pt idx="0">
                  <c:v>Tarde</c:v>
                </c:pt>
                <c:pt idx="1">
                  <c:v>Noite</c:v>
                </c:pt>
                <c:pt idx="2">
                  <c:v>Manha</c:v>
                </c:pt>
              </c:strCache>
            </c:strRef>
          </c:cat>
          <c:val>
            <c:numRef>
              <c:f>'Análise Detalhada MAQ03'!$C$12:$C$15</c:f>
              <c:numCache>
                <c:formatCode>0%</c:formatCode>
                <c:ptCount val="3"/>
                <c:pt idx="0">
                  <c:v>0.6974842767295597</c:v>
                </c:pt>
                <c:pt idx="1">
                  <c:v>0.78166666666666662</c:v>
                </c:pt>
                <c:pt idx="2">
                  <c:v>0.86416666666666653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0-46EB-9298-B29089E11A07}"/>
            </c:ext>
          </c:extLst>
        </c:ser>
        <c:ser>
          <c:idx val="1"/>
          <c:order val="1"/>
          <c:tx>
            <c:strRef>
              <c:f>'Análise Detalhada MAQ03'!$D$11</c:f>
              <c:strCache>
                <c:ptCount val="1"/>
                <c:pt idx="0">
                  <c:v>Média 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MAQ03'!$B$12:$B$15</c:f>
              <c:strCache>
                <c:ptCount val="3"/>
                <c:pt idx="0">
                  <c:v>Tarde</c:v>
                </c:pt>
                <c:pt idx="1">
                  <c:v>Noite</c:v>
                </c:pt>
                <c:pt idx="2">
                  <c:v>Manha</c:v>
                </c:pt>
              </c:strCache>
            </c:strRef>
          </c:cat>
          <c:val>
            <c:numRef>
              <c:f>'Análise Detalhada MAQ03'!$D$12:$D$15</c:f>
              <c:numCache>
                <c:formatCode>0%</c:formatCode>
                <c:ptCount val="3"/>
                <c:pt idx="0">
                  <c:v>2.0376163739614834</c:v>
                </c:pt>
                <c:pt idx="1">
                  <c:v>1.1821151256588469</c:v>
                </c:pt>
                <c:pt idx="2">
                  <c:v>1.0915099881570174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0-46EB-9298-B29089E11A07}"/>
            </c:ext>
          </c:extLst>
        </c:ser>
        <c:ser>
          <c:idx val="2"/>
          <c:order val="2"/>
          <c:tx>
            <c:strRef>
              <c:f>'Análise Detalhada MAQ03'!$E$11</c:f>
              <c:strCache>
                <c:ptCount val="1"/>
                <c:pt idx="0">
                  <c:v>Média Qualidade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MAQ03'!$B$12:$B$15</c:f>
              <c:strCache>
                <c:ptCount val="3"/>
                <c:pt idx="0">
                  <c:v>Tarde</c:v>
                </c:pt>
                <c:pt idx="1">
                  <c:v>Noite</c:v>
                </c:pt>
                <c:pt idx="2">
                  <c:v>Manha</c:v>
                </c:pt>
              </c:strCache>
            </c:strRef>
          </c:cat>
          <c:val>
            <c:numRef>
              <c:f>'Análise Detalhada MAQ03'!$E$12:$E$15</c:f>
              <c:numCache>
                <c:formatCode>0%</c:formatCode>
                <c:ptCount val="3"/>
                <c:pt idx="0">
                  <c:v>0.65297711144830317</c:v>
                </c:pt>
                <c:pt idx="1">
                  <c:v>0.75713293650793656</c:v>
                </c:pt>
                <c:pt idx="2">
                  <c:v>0.95039663106954286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0-46EB-9298-B29089E11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63647"/>
        <c:axId val="141466975"/>
      </c:barChart>
      <c:catAx>
        <c:axId val="14146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466975"/>
        <c:crosses val="autoZero"/>
        <c:auto val="1"/>
        <c:lblAlgn val="ctr"/>
        <c:lblOffset val="100"/>
        <c:noMultiLvlLbl val="0"/>
      </c:catAx>
      <c:valAx>
        <c:axId val="141466975"/>
        <c:scaling>
          <c:orientation val="minMax"/>
          <c:max val="2.5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46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Detalhada MAQ03!Tabela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Correlação Operacional: Performance vs Qualidade – MAQ03</a:t>
            </a:r>
            <a:endParaRPr lang="pt-BR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Detalhada MAQ03'!$C$11</c:f>
              <c:strCache>
                <c:ptCount val="1"/>
                <c:pt idx="0">
                  <c:v>Média Disponibilidade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Detalhada MAQ03'!$B$12:$B$15</c:f>
              <c:strCache>
                <c:ptCount val="3"/>
                <c:pt idx="0">
                  <c:v>Tarde</c:v>
                </c:pt>
                <c:pt idx="1">
                  <c:v>Noite</c:v>
                </c:pt>
                <c:pt idx="2">
                  <c:v>Manha</c:v>
                </c:pt>
              </c:strCache>
            </c:strRef>
          </c:cat>
          <c:val>
            <c:numRef>
              <c:f>'Análise Detalhada MAQ03'!$C$12:$C$15</c:f>
              <c:numCache>
                <c:formatCode>0%</c:formatCode>
                <c:ptCount val="3"/>
                <c:pt idx="0">
                  <c:v>0.6974842767295597</c:v>
                </c:pt>
                <c:pt idx="1">
                  <c:v>0.78166666666666662</c:v>
                </c:pt>
                <c:pt idx="2">
                  <c:v>0.86416666666666653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1-4332-B5B9-B53507884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814687"/>
        <c:axId val="1130809695"/>
      </c:barChart>
      <c:lineChart>
        <c:grouping val="standard"/>
        <c:varyColors val="0"/>
        <c:ser>
          <c:idx val="1"/>
          <c:order val="1"/>
          <c:tx>
            <c:strRef>
              <c:f>'Análise Detalhada MAQ03'!$D$11</c:f>
              <c:strCache>
                <c:ptCount val="1"/>
                <c:pt idx="0">
                  <c:v>Média Performance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MAQ03'!$B$12:$B$15</c:f>
              <c:strCache>
                <c:ptCount val="3"/>
                <c:pt idx="0">
                  <c:v>Tarde</c:v>
                </c:pt>
                <c:pt idx="1">
                  <c:v>Noite</c:v>
                </c:pt>
                <c:pt idx="2">
                  <c:v>Manha</c:v>
                </c:pt>
              </c:strCache>
            </c:strRef>
          </c:cat>
          <c:val>
            <c:numRef>
              <c:f>'Análise Detalhada MAQ03'!$D$12:$D$15</c:f>
              <c:numCache>
                <c:formatCode>0%</c:formatCode>
                <c:ptCount val="3"/>
                <c:pt idx="0">
                  <c:v>2.0376163739614834</c:v>
                </c:pt>
                <c:pt idx="1">
                  <c:v>1.1821151256588469</c:v>
                </c:pt>
                <c:pt idx="2">
                  <c:v>1.0915099881570174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1-4332-B5B9-B53507884D84}"/>
            </c:ext>
          </c:extLst>
        </c:ser>
        <c:ser>
          <c:idx val="2"/>
          <c:order val="2"/>
          <c:tx>
            <c:strRef>
              <c:f>'Análise Detalhada MAQ03'!$E$11</c:f>
              <c:strCache>
                <c:ptCount val="1"/>
                <c:pt idx="0">
                  <c:v>Média Qualidade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MAQ03'!$B$12:$B$15</c:f>
              <c:strCache>
                <c:ptCount val="3"/>
                <c:pt idx="0">
                  <c:v>Tarde</c:v>
                </c:pt>
                <c:pt idx="1">
                  <c:v>Noite</c:v>
                </c:pt>
                <c:pt idx="2">
                  <c:v>Manha</c:v>
                </c:pt>
              </c:strCache>
            </c:strRef>
          </c:cat>
          <c:val>
            <c:numRef>
              <c:f>'Análise Detalhada MAQ03'!$E$12:$E$15</c:f>
              <c:numCache>
                <c:formatCode>0%</c:formatCode>
                <c:ptCount val="3"/>
                <c:pt idx="0">
                  <c:v>0.65297711144830317</c:v>
                </c:pt>
                <c:pt idx="1">
                  <c:v>0.75713293650793656</c:v>
                </c:pt>
                <c:pt idx="2">
                  <c:v>0.95039663106954286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F1-4332-B5B9-B53507884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320847"/>
        <c:axId val="1130813439"/>
      </c:lineChart>
      <c:catAx>
        <c:axId val="113081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0809695"/>
        <c:crosses val="autoZero"/>
        <c:auto val="1"/>
        <c:lblAlgn val="ctr"/>
        <c:lblOffset val="100"/>
        <c:noMultiLvlLbl val="0"/>
      </c:catAx>
      <c:valAx>
        <c:axId val="11308096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0814687"/>
        <c:crosses val="autoZero"/>
        <c:crossBetween val="between"/>
      </c:valAx>
      <c:valAx>
        <c:axId val="11308134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320847"/>
        <c:crosses val="max"/>
        <c:crossBetween val="between"/>
      </c:valAx>
      <c:catAx>
        <c:axId val="1129320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0813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Detalhada MAQ03!Tabela dinâmica14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Motivos de Parada da Máquina Crítica</a:t>
            </a:r>
            <a:endParaRPr lang="pt-BR"/>
          </a:p>
        </c:rich>
      </c:tx>
      <c:layout>
        <c:manualLayout>
          <c:xMode val="edge"/>
          <c:yMode val="edge"/>
          <c:x val="0.24003283763937414"/>
          <c:y val="2.1768698154717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61479448587009"/>
          <c:y val="0.152707439835749"/>
          <c:w val="0.6071862543916049"/>
          <c:h val="0.74141214859050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'Análise Detalhada MAQ03'!$C$73</c:f>
              <c:strCache>
                <c:ptCount val="1"/>
                <c:pt idx="0">
                  <c:v>Tempo Parada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MAQ03'!$B$74:$B$78</c:f>
              <c:strCache>
                <c:ptCount val="4"/>
                <c:pt idx="0">
                  <c:v>Problema Eletrico</c:v>
                </c:pt>
                <c:pt idx="1">
                  <c:v>Falta Operador Treinado</c:v>
                </c:pt>
                <c:pt idx="2">
                  <c:v>Setup</c:v>
                </c:pt>
                <c:pt idx="3">
                  <c:v>Falta de Componente Secundario</c:v>
                </c:pt>
              </c:strCache>
            </c:strRef>
          </c:cat>
          <c:val>
            <c:numRef>
              <c:f>'Análise Detalhada MAQ03'!$C$74:$C$78</c:f>
              <c:numCache>
                <c:formatCode>General</c:formatCode>
                <c:ptCount val="4"/>
                <c:pt idx="0">
                  <c:v>788</c:v>
                </c:pt>
                <c:pt idx="1">
                  <c:v>262</c:v>
                </c:pt>
                <c:pt idx="2">
                  <c:v>174</c:v>
                </c:pt>
                <c:pt idx="3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1-4E86-AEE0-7874A0D2065A}"/>
            </c:ext>
          </c:extLst>
        </c:ser>
        <c:ser>
          <c:idx val="1"/>
          <c:order val="1"/>
          <c:tx>
            <c:strRef>
              <c:f>'Análise Detalhada MAQ03'!$D$73</c:f>
              <c:strCache>
                <c:ptCount val="1"/>
                <c:pt idx="0">
                  <c:v>%Tempo Parada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Detalhada MAQ03'!$B$74:$B$78</c:f>
              <c:strCache>
                <c:ptCount val="4"/>
                <c:pt idx="0">
                  <c:v>Problema Eletrico</c:v>
                </c:pt>
                <c:pt idx="1">
                  <c:v>Falta Operador Treinado</c:v>
                </c:pt>
                <c:pt idx="2">
                  <c:v>Setup</c:v>
                </c:pt>
                <c:pt idx="3">
                  <c:v>Falta de Componente Secundario</c:v>
                </c:pt>
              </c:strCache>
            </c:strRef>
          </c:cat>
          <c:val>
            <c:numRef>
              <c:f>'Análise Detalhada MAQ03'!$D$74:$D$78</c:f>
              <c:numCache>
                <c:formatCode>0%</c:formatCode>
                <c:ptCount val="4"/>
                <c:pt idx="0">
                  <c:v>0.56813266041816868</c:v>
                </c:pt>
                <c:pt idx="1">
                  <c:v>0.18889689978370583</c:v>
                </c:pt>
                <c:pt idx="2">
                  <c:v>0.12545061283345349</c:v>
                </c:pt>
                <c:pt idx="3">
                  <c:v>0.11751982696467195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1-4E86-AEE0-7874A0D20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8835183"/>
        <c:axId val="28837679"/>
      </c:barChart>
      <c:lineChart>
        <c:grouping val="standard"/>
        <c:varyColors val="0"/>
        <c:ser>
          <c:idx val="2"/>
          <c:order val="2"/>
          <c:tx>
            <c:strRef>
              <c:f>'Análise Detalhada MAQ03'!$E$73</c:f>
              <c:strCache>
                <c:ptCount val="1"/>
                <c:pt idx="0">
                  <c:v>% Percentual Acumulado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MAQ03'!$B$74:$B$78</c:f>
              <c:strCache>
                <c:ptCount val="4"/>
                <c:pt idx="0">
                  <c:v>Problema Eletrico</c:v>
                </c:pt>
                <c:pt idx="1">
                  <c:v>Falta Operador Treinado</c:v>
                </c:pt>
                <c:pt idx="2">
                  <c:v>Setup</c:v>
                </c:pt>
                <c:pt idx="3">
                  <c:v>Falta de Componente Secundario</c:v>
                </c:pt>
              </c:strCache>
            </c:strRef>
          </c:cat>
          <c:val>
            <c:numRef>
              <c:f>'Análise Detalhada MAQ03'!$E$74:$E$78</c:f>
              <c:numCache>
                <c:formatCode>0%</c:formatCode>
                <c:ptCount val="4"/>
                <c:pt idx="0">
                  <c:v>0.56813266041816868</c:v>
                </c:pt>
                <c:pt idx="1">
                  <c:v>0.75702956020187451</c:v>
                </c:pt>
                <c:pt idx="2">
                  <c:v>0.882480173035328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1-4E86-AEE0-7874A0D20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40591"/>
        <c:axId val="28838927"/>
      </c:lineChart>
      <c:catAx>
        <c:axId val="2883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37679"/>
        <c:crosses val="autoZero"/>
        <c:auto val="1"/>
        <c:lblAlgn val="ctr"/>
        <c:lblOffset val="100"/>
        <c:noMultiLvlLbl val="0"/>
      </c:catAx>
      <c:valAx>
        <c:axId val="28837679"/>
        <c:scaling>
          <c:orientation val="minMax"/>
          <c:max val="14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35183"/>
        <c:crosses val="autoZero"/>
        <c:crossBetween val="between"/>
      </c:valAx>
      <c:valAx>
        <c:axId val="28838927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40591"/>
        <c:crosses val="max"/>
        <c:crossBetween val="between"/>
      </c:valAx>
      <c:catAx>
        <c:axId val="28840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83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36533980077439"/>
          <c:y val="0.49145626306787893"/>
          <c:w val="0.20404324117909231"/>
          <c:h val="0.137141928329358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Detalhada MAQ03!Tabela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por Turno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Detalhada MAQ03'!$C$110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823-406B-91BF-E6BB8BA36E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MAQ03'!$B$111:$B$114</c:f>
              <c:strCache>
                <c:ptCount val="3"/>
                <c:pt idx="0">
                  <c:v>Tarde</c:v>
                </c:pt>
                <c:pt idx="1">
                  <c:v>Noite</c:v>
                </c:pt>
                <c:pt idx="2">
                  <c:v>Manha</c:v>
                </c:pt>
              </c:strCache>
            </c:strRef>
          </c:cat>
          <c:val>
            <c:numRef>
              <c:f>'Análise Detalhada MAQ03'!$C$111:$C$114</c:f>
              <c:numCache>
                <c:formatCode>General</c:formatCode>
                <c:ptCount val="3"/>
                <c:pt idx="0">
                  <c:v>962</c:v>
                </c:pt>
                <c:pt idx="1">
                  <c:v>262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3-406B-91BF-E6BB8BA36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7"/>
        <c:overlap val="-27"/>
        <c:axId val="105830351"/>
        <c:axId val="105816623"/>
      </c:barChart>
      <c:catAx>
        <c:axId val="10583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816623"/>
        <c:crosses val="autoZero"/>
        <c:auto val="1"/>
        <c:lblAlgn val="ctr"/>
        <c:lblOffset val="100"/>
        <c:noMultiLvlLbl val="0"/>
      </c:catAx>
      <c:valAx>
        <c:axId val="10581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83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Detalhada MAQ03!Tabela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Impacto Financeiro da MAQ03 – Perdas Operacionais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Detalhada MAQ03'!$B$148</c:f>
              <c:strCache>
                <c:ptCount val="1"/>
                <c:pt idx="0">
                  <c:v>Perda por Parada (R$)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MAQ03'!$B$149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'Análise Detalhada MAQ03'!$B$149</c:f>
              <c:numCache>
                <c:formatCode>"R$"\ #,##0.00</c:formatCode>
                <c:ptCount val="1"/>
                <c:pt idx="0">
                  <c:v>221920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3-412D-B3BF-7EA7A00D9092}"/>
            </c:ext>
          </c:extLst>
        </c:ser>
        <c:ser>
          <c:idx val="1"/>
          <c:order val="1"/>
          <c:tx>
            <c:strRef>
              <c:f>'Análise Detalhada MAQ03'!$C$148</c:f>
              <c:strCache>
                <c:ptCount val="1"/>
                <c:pt idx="0">
                  <c:v>Perda por Refugo (R%)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MAQ03'!$B$149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'Análise Detalhada MAQ03'!$C$149</c:f>
              <c:numCache>
                <c:formatCode>"R$"\ #,##0.00</c:formatCode>
                <c:ptCount val="1"/>
                <c:pt idx="0">
                  <c:v>161760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23-412D-B3BF-7EA7A00D9092}"/>
            </c:ext>
          </c:extLst>
        </c:ser>
        <c:ser>
          <c:idx val="2"/>
          <c:order val="2"/>
          <c:tx>
            <c:strRef>
              <c:f>'Análise Detalhada MAQ03'!$D$148</c:f>
              <c:strCache>
                <c:ptCount val="1"/>
                <c:pt idx="0">
                  <c:v>Perda Total (R$)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MAQ03'!$B$149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'Análise Detalhada MAQ03'!$D$149</c:f>
              <c:numCache>
                <c:formatCode>"R$"\ #,##0.00</c:formatCode>
                <c:ptCount val="1"/>
                <c:pt idx="0">
                  <c:v>383680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23-412D-B3BF-7EA7A00D9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756704399"/>
        <c:axId val="756705231"/>
      </c:barChart>
      <c:catAx>
        <c:axId val="756704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6705231"/>
        <c:crosses val="autoZero"/>
        <c:auto val="1"/>
        <c:lblAlgn val="ctr"/>
        <c:lblOffset val="100"/>
        <c:noMultiLvlLbl val="0"/>
      </c:catAx>
      <c:valAx>
        <c:axId val="756705231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75670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Detalhada MAQ03!Tabela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Comparativo de Perdas Financeiras por Máquina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56BE0C-AFB8-45EA-86E4-5407D9A7019F}" type="CELLRANGE">
                  <a:rPr lang="en-US"/>
                  <a:pPr>
                    <a:defRPr/>
                  </a:pPr>
                  <a:t>[INTERVALODACÉLULA]</a:t>
                </a:fld>
                <a:endParaRPr lang="en-US" baseline="0"/>
              </a:p>
              <a:p>
                <a:pPr>
                  <a:defRPr/>
                </a:pPr>
                <a:fld id="{6ED1C62E-BD11-4E45-9DA5-ACE88E73562C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69E5B52-87AF-4C61-BFBB-1BB26101861F}" type="CELLRANGE">
                  <a:rPr lang="en-US"/>
                  <a:pPr>
                    <a:defRPr/>
                  </a:pPr>
                  <a:t>[INTERVALODACÉLULA]</a:t>
                </a:fld>
                <a:endParaRPr lang="en-US" baseline="0"/>
              </a:p>
              <a:p>
                <a:pPr>
                  <a:defRPr/>
                </a:pPr>
                <a:fld id="{7B2522B9-3046-42B3-873E-25314C3E1F4A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EE1C672-22C1-43EB-AF51-8F67681F0FCB}" type="CELLRANGE">
                  <a:rPr lang="en-US"/>
                  <a:pPr>
                    <a:defRPr/>
                  </a:pPr>
                  <a:t>[INTERVALODACÉLULA]</a:t>
                </a:fld>
                <a:endParaRPr lang="en-US" baseline="0"/>
              </a:p>
              <a:p>
                <a:pPr>
                  <a:defRPr/>
                </a:pPr>
                <a:fld id="{A42F65E2-FB8D-4A23-87C2-1B664A2E8E5A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Detalhada MAQ03'!$D$175:$D$177</c:f>
              <c:strCache>
                <c:ptCount val="1"/>
                <c:pt idx="0">
                  <c:v>Perda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9B-47F5-8C13-FFB520AD013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19B-47F5-8C13-FFB520AD013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19B-47F5-8C13-FFB520AD01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056BE0C-AFB8-45EA-86E4-5407D9A7019F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6ED1C62E-BD11-4E45-9DA5-ACE88E73562C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19B-47F5-8C13-FFB520AD01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9E5B52-87AF-4C61-BFBB-1BB26101861F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7B2522B9-3046-42B3-873E-25314C3E1F4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19B-47F5-8C13-FFB520AD01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EE1C672-22C1-43EB-AF51-8F67681F0FCB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A42F65E2-FB8D-4A23-87C2-1B664A2E8E5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19B-47F5-8C13-FFB520AD01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Detalhada MAQ03'!$D$175:$D$177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Detalhada MAQ03'!$D$175:$D$177</c:f>
              <c:numCache>
                <c:formatCode>"R$"\ #,##0.00</c:formatCode>
                <c:ptCount val="3"/>
                <c:pt idx="0">
                  <c:v>383680</c:v>
                </c:pt>
                <c:pt idx="1">
                  <c:v>88080</c:v>
                </c:pt>
                <c:pt idx="2">
                  <c:v>80200.000400000004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'Análise Detalhada MAQ03'!$D$175:$D$177</c15:f>
                <c15:dlblRangeCache>
                  <c:ptCount val="3"/>
                  <c:pt idx="0">
                    <c:v>70%</c:v>
                  </c:pt>
                  <c:pt idx="1">
                    <c:v>16%</c:v>
                  </c:pt>
                  <c:pt idx="2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19B-47F5-8C13-FFB520AD013C}"/>
            </c:ext>
          </c:extLst>
        </c:ser>
        <c:ser>
          <c:idx val="1"/>
          <c:order val="1"/>
          <c:tx>
            <c:strRef>
              <c:f>'Análise Detalhada MAQ03'!$D$175:$D$177</c:f>
              <c:strCache>
                <c:ptCount val="1"/>
                <c:pt idx="0">
                  <c:v>% Participação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Detalhada MAQ03'!$D$175:$D$177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Detalhada MAQ03'!$D$175:$D$177</c:f>
              <c:numCache>
                <c:formatCode>0%</c:formatCode>
                <c:ptCount val="3"/>
                <c:pt idx="0">
                  <c:v>0.69512283448429391</c:v>
                </c:pt>
                <c:pt idx="1">
                  <c:v>0.15957678081051033</c:v>
                </c:pt>
                <c:pt idx="2">
                  <c:v>0.14530038470519574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B-47F5-8C13-FFB520AD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6227759"/>
        <c:axId val="986229423"/>
      </c:barChart>
      <c:catAx>
        <c:axId val="9862277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6229423"/>
        <c:crosses val="autoZero"/>
        <c:auto val="1"/>
        <c:lblAlgn val="ctr"/>
        <c:lblOffset val="100"/>
        <c:noMultiLvlLbl val="0"/>
      </c:catAx>
      <c:valAx>
        <c:axId val="986229423"/>
        <c:scaling>
          <c:orientation val="minMax"/>
        </c:scaling>
        <c:delete val="0"/>
        <c:axPos val="t"/>
        <c:numFmt formatCode="&quot;R$&quot;\ 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622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Distribuição das Perdas (Parada vs Refugo)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Financeira Global'!$H$9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26-4F11-8370-AA1D965CE34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526-4F11-8370-AA1D965CE34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C592DC9-D67F-4029-A754-7703D8BF6B92}" type="CELLRANGE">
                      <a:rPr lang="en-US" b="1"/>
                      <a:pPr/>
                      <a:t>[INTERVALODACÉLULA]</a:t>
                    </a:fld>
                    <a:endParaRPr lang="en-US" b="1" baseline="0"/>
                  </a:p>
                  <a:p>
                    <a:fld id="{FABEAB71-C239-4C8E-A3F2-41851D67903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526-4F11-8370-AA1D965CE3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5394E15-DDCE-46D7-8403-8BFEE5C26907}" type="CELLRANGE">
                      <a:rPr lang="en-US" b="1"/>
                      <a:pPr/>
                      <a:t>[INTERVALODACÉLULA]</a:t>
                    </a:fld>
                    <a:endParaRPr lang="en-US" b="1" baseline="0"/>
                  </a:p>
                  <a:p>
                    <a:fld id="{691E0572-E0A3-46F9-857A-F89698B7904E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526-4F11-8370-AA1D965CE3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0249E9-9F01-46E0-88B0-7B4457258BA1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526-4F11-8370-AA1D965CE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Financeira Global'!$G$10:$G$12</c:f>
              <c:strCache>
                <c:ptCount val="3"/>
                <c:pt idx="0">
                  <c:v>Parada</c:v>
                </c:pt>
                <c:pt idx="1">
                  <c:v>Refugo</c:v>
                </c:pt>
                <c:pt idx="2">
                  <c:v>Total Geral</c:v>
                </c:pt>
              </c:strCache>
            </c:strRef>
          </c:cat>
          <c:val>
            <c:numRef>
              <c:f>'Análise Financeira Global'!$H$10:$H$12</c:f>
              <c:numCache>
                <c:formatCode>"R$"\ #,##0.00</c:formatCode>
                <c:ptCount val="3"/>
                <c:pt idx="0">
                  <c:v>342300.00040000002</c:v>
                </c:pt>
                <c:pt idx="1">
                  <c:v>209660</c:v>
                </c:pt>
                <c:pt idx="2">
                  <c:v>551960.00040000002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'Análise Financeira Global'!$I$10:$I$11</c15:f>
                <c15:dlblRangeCache>
                  <c:ptCount val="2"/>
                  <c:pt idx="0">
                    <c:v>62%</c:v>
                  </c:pt>
                  <c:pt idx="1">
                    <c:v>38%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526-4F11-8370-AA1D965CE3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9434975"/>
        <c:axId val="539434143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9434559"/>
        <c:axId val="5394366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'Análise Financeira Global'!$I$9</c15:sqref>
                        </c15:formulaRef>
                      </c:ext>
                    </c:extLst>
                    <c:strCache>
                      <c:ptCount val="1"/>
                      <c:pt idx="0">
                        <c:v>% Participação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'Análise Financeira Global'!$G$10:$G$12</c15:sqref>
                        </c15:formulaRef>
                      </c:ext>
                    </c:extLst>
                    <c:strCache>
                      <c:ptCount val="3"/>
                      <c:pt idx="0">
                        <c:v>Parada</c:v>
                      </c:pt>
                      <c:pt idx="1">
                        <c:v>Refugo</c:v>
                      </c:pt>
                      <c:pt idx="2">
                        <c:v>Total Geral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'Análise Financeira Global'!$I$10:$I$12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0.62015363459659856</c:v>
                      </c:pt>
                      <c:pt idx="1">
                        <c:v>0.37984636540340144</c:v>
                      </c:pt>
                      <c:pt idx="2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526-4F11-8370-AA1D965CE34E}"/>
                  </c:ext>
                </c:extLst>
              </c15:ser>
            </c15:filteredLineSeries>
          </c:ext>
        </c:extLst>
      </c:lineChart>
      <c:catAx>
        <c:axId val="53943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434143"/>
        <c:crosses val="autoZero"/>
        <c:auto val="1"/>
        <c:lblAlgn val="ctr"/>
        <c:lblOffset val="100"/>
        <c:noMultiLvlLbl val="0"/>
      </c:catAx>
      <c:valAx>
        <c:axId val="539434143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434975"/>
        <c:crosses val="autoZero"/>
        <c:crossBetween val="between"/>
      </c:valAx>
      <c:valAx>
        <c:axId val="53943663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434559"/>
        <c:crosses val="max"/>
        <c:crossBetween val="between"/>
      </c:valAx>
      <c:catAx>
        <c:axId val="539434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9436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Financeira Global!Tabela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Impacto Financeiro por Máquina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8E43B4-BF52-4ED7-B70E-6D955F88187E}" type="CELLRANGE">
                  <a:rPr lang="en-US" sz="1000" b="1"/>
                  <a:pPr>
                    <a:defRPr/>
                  </a:pPr>
                  <a:t>[INTERVALODACÉLULA]</a:t>
                </a:fld>
                <a:endParaRPr lang="en-US" sz="1000" b="1" baseline="0"/>
              </a:p>
              <a:p>
                <a:pPr>
                  <a:defRPr/>
                </a:pPr>
                <a:fld id="{56E659CD-85E3-4B00-9704-92D670D3E46D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E4E1931-A8C4-4984-ACF2-A4D2581051E9}" type="CELLRANGE">
                  <a:rPr lang="en-US" sz="1000" b="1"/>
                  <a:pPr>
                    <a:defRPr/>
                  </a:pPr>
                  <a:t>[INTERVALODACÉLULA]</a:t>
                </a:fld>
                <a:endParaRPr lang="en-US" b="1" baseline="0"/>
              </a:p>
              <a:p>
                <a:pPr>
                  <a:defRPr/>
                </a:pPr>
                <a:fld id="{37CA80A8-3964-45C8-ACDA-BA6767E6F589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8FF2E63-326A-4B6B-B862-57C5C59D9D4E}" type="CELLRANGE">
                  <a:rPr lang="en-US" sz="1000" b="1"/>
                  <a:pPr>
                    <a:defRPr/>
                  </a:pPr>
                  <a:t>[INTERVALODACÉLULA]</a:t>
                </a:fld>
                <a:endParaRPr lang="en-US" b="1" baseline="0"/>
              </a:p>
              <a:p>
                <a:pPr>
                  <a:defRPr/>
                </a:pPr>
                <a:fld id="{03F2B228-49F7-40BE-8EE7-6985C56A6468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433955401244136E-2"/>
          <c:y val="0.13549639092689961"/>
          <c:w val="0.88676280819228304"/>
          <c:h val="0.837465167381526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'Análise Financeira Global'!$E$41:$E$43</c:f>
              <c:strCache>
                <c:ptCount val="1"/>
                <c:pt idx="0">
                  <c:v>Soma Perda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AD-408B-8DDE-DEA77F6D5A7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AD-408B-8DDE-DEA77F6D5A7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AD-408B-8DDE-DEA77F6D5A7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F8E43B4-BF52-4ED7-B70E-6D955F88187E}" type="CELLRANGE">
                      <a:rPr lang="en-US" sz="1000" b="1"/>
                      <a:pPr/>
                      <a:t>[INTERVALODACÉLULA]</a:t>
                    </a:fld>
                    <a:endParaRPr lang="en-US" sz="1000" b="1" baseline="0"/>
                  </a:p>
                  <a:p>
                    <a:fld id="{56E659CD-85E3-4B00-9704-92D670D3E46D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1AD-408B-8DDE-DEA77F6D5A7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4E1931-A8C4-4984-ACF2-A4D2581051E9}" type="CELLRANGE">
                      <a:rPr lang="en-US" sz="1000" b="1"/>
                      <a:pPr/>
                      <a:t>[INTERVALODACÉLULA]</a:t>
                    </a:fld>
                    <a:endParaRPr lang="en-US" b="1" baseline="0"/>
                  </a:p>
                  <a:p>
                    <a:fld id="{37CA80A8-3964-45C8-ACDA-BA6767E6F589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1AD-408B-8DDE-DEA77F6D5A7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8FF2E63-326A-4B6B-B862-57C5C59D9D4E}" type="CELLRANGE">
                      <a:rPr lang="en-US" sz="1000" b="1"/>
                      <a:pPr/>
                      <a:t>[INTERVALODACÉLULA]</a:t>
                    </a:fld>
                    <a:endParaRPr lang="en-US" b="1" baseline="0"/>
                  </a:p>
                  <a:p>
                    <a:fld id="{03F2B228-49F7-40BE-8EE7-6985C56A6468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1AD-408B-8DDE-DEA77F6D5A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Financeira Global'!$E$41:$E$43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Financeira Global'!$E$41:$E$43</c:f>
              <c:numCache>
                <c:formatCode>"R$"\ #,##0.00</c:formatCode>
                <c:ptCount val="3"/>
                <c:pt idx="0">
                  <c:v>383680</c:v>
                </c:pt>
                <c:pt idx="1">
                  <c:v>88080</c:v>
                </c:pt>
                <c:pt idx="2">
                  <c:v>80200.000400000004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'Análise Financeira Global'!$E$41:$E$43</c15:f>
                <c15:dlblRangeCache>
                  <c:ptCount val="3"/>
                  <c:pt idx="0">
                    <c:v>70%</c:v>
                  </c:pt>
                  <c:pt idx="1">
                    <c:v>16%</c:v>
                  </c:pt>
                  <c:pt idx="2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1AD-408B-8DDE-DEA77F6D5A74}"/>
            </c:ext>
          </c:extLst>
        </c:ser>
        <c:ser>
          <c:idx val="1"/>
          <c:order val="1"/>
          <c:tx>
            <c:strRef>
              <c:f>'Análise Financeira Global'!$E$41:$E$43</c:f>
              <c:strCache>
                <c:ptCount val="1"/>
                <c:pt idx="0">
                  <c:v>% de Perda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Financeira Global'!$E$41:$E$43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Financeira Global'!$E$41:$E$43</c:f>
              <c:numCache>
                <c:formatCode>0%</c:formatCode>
                <c:ptCount val="3"/>
                <c:pt idx="0">
                  <c:v>0.69512283448429391</c:v>
                </c:pt>
                <c:pt idx="1">
                  <c:v>0.15957678081051033</c:v>
                </c:pt>
                <c:pt idx="2">
                  <c:v>0.14530038470519574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AD-408B-8DDE-DEA77F6D5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6261039"/>
        <c:axId val="916246479"/>
      </c:barChart>
      <c:catAx>
        <c:axId val="9162610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246479"/>
        <c:crosses val="autoZero"/>
        <c:auto val="1"/>
        <c:lblAlgn val="ctr"/>
        <c:lblOffset val="100"/>
        <c:noMultiLvlLbl val="0"/>
      </c:catAx>
      <c:valAx>
        <c:axId val="916246479"/>
        <c:scaling>
          <c:orientation val="minMax"/>
        </c:scaling>
        <c:delete val="0"/>
        <c:axPos val="t"/>
        <c:numFmt formatCode="&quot;R$&quot;\ 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26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[baseProducao.xlsx]Análise Financeira Global!Tabela dinâmica2</c:name>
    <c:fmtId val="1"/>
  </c:pivotSource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Curva de Concentração Financeira da Operação</a:t>
            </a:r>
            <a:endParaRPr lang="pt-BR"/>
          </a:p>
        </c:rich>
      </c:tx>
      <c:layout>
        <c:manualLayout>
          <c:xMode val="edge"/>
          <c:yMode val="edge"/>
          <c:x val="0.21369297551797042"/>
          <c:y val="2.871242304024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0124660945310794E-2"/>
              <c:y val="4.4836313754437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27807892474121E-2"/>
          <c:y val="0.17259755300070256"/>
          <c:w val="0.696413497775487"/>
          <c:h val="0.76208790183968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'Análise Financeira Global'!$D$76</c:f>
              <c:strCache>
                <c:ptCount val="1"/>
                <c:pt idx="0">
                  <c:v>Soma Perda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Financeira Global'!$C$77:$C$80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Financeira Global'!$D$77:$D$80</c:f>
              <c:numCache>
                <c:formatCode>"R$"\ #,##0.00</c:formatCode>
                <c:ptCount val="3"/>
                <c:pt idx="0">
                  <c:v>383680</c:v>
                </c:pt>
                <c:pt idx="1">
                  <c:v>88080</c:v>
                </c:pt>
                <c:pt idx="2">
                  <c:v>80200.000400000004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C-4DEC-BAF7-23871EFD0A82}"/>
            </c:ext>
          </c:extLst>
        </c:ser>
        <c:ser>
          <c:idx val="1"/>
          <c:order val="1"/>
          <c:tx>
            <c:strRef>
              <c:f>'Análise Financeira Global'!$E$76</c:f>
              <c:strCache>
                <c:ptCount val="1"/>
                <c:pt idx="0">
                  <c:v>% de Perda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Financeira Global'!$C$77:$C$80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Financeira Global'!$E$77:$E$80</c:f>
              <c:numCache>
                <c:formatCode>0%</c:formatCode>
                <c:ptCount val="3"/>
                <c:pt idx="0">
                  <c:v>0.69512283448429391</c:v>
                </c:pt>
                <c:pt idx="1">
                  <c:v>0.15957678081051033</c:v>
                </c:pt>
                <c:pt idx="2">
                  <c:v>0.14530038470519574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C-4DEC-BAF7-23871EFD0A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9049039"/>
        <c:axId val="1019036559"/>
      </c:barChart>
      <c:lineChart>
        <c:grouping val="standard"/>
        <c:varyColors val="0"/>
        <c:ser>
          <c:idx val="2"/>
          <c:order val="2"/>
          <c:tx>
            <c:strRef>
              <c:f>'Análise Financeira Global'!$F$76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C7C-4DEC-BAF7-23871EFD0A82}"/>
              </c:ext>
            </c:extLst>
          </c:dPt>
          <c:dLbls>
            <c:dLbl>
              <c:idx val="0"/>
              <c:layout>
                <c:manualLayout>
                  <c:x val="-1.0124660945310794E-2"/>
                  <c:y val="4.48363137544375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7C-4DEC-BAF7-23871EFD0A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Financeira Global'!$C$77:$C$80</c:f>
              <c:strCache>
                <c:ptCount val="3"/>
                <c:pt idx="0">
                  <c:v>MAQ03</c:v>
                </c:pt>
                <c:pt idx="1">
                  <c:v>MAQ02</c:v>
                </c:pt>
                <c:pt idx="2">
                  <c:v>MAQ01</c:v>
                </c:pt>
              </c:strCache>
            </c:strRef>
          </c:cat>
          <c:val>
            <c:numRef>
              <c:f>'Análise Financeira Global'!$F$77:$F$80</c:f>
              <c:numCache>
                <c:formatCode>0%</c:formatCode>
                <c:ptCount val="3"/>
                <c:pt idx="0">
                  <c:v>0.69512283448429391</c:v>
                </c:pt>
                <c:pt idx="1">
                  <c:v>0.8546996152948042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7C-4DEC-BAF7-23871EFD0A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9040719"/>
        <c:axId val="1019039887"/>
      </c:lineChart>
      <c:catAx>
        <c:axId val="10190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9036559"/>
        <c:crosses val="autoZero"/>
        <c:auto val="1"/>
        <c:lblAlgn val="ctr"/>
        <c:lblOffset val="100"/>
        <c:noMultiLvlLbl val="0"/>
      </c:catAx>
      <c:valAx>
        <c:axId val="1019036559"/>
        <c:scaling>
          <c:orientation val="minMax"/>
          <c:max val="550000"/>
          <c:min val="0"/>
        </c:scaling>
        <c:delete val="0"/>
        <c:axPos val="l"/>
        <c:numFmt formatCode="&quot;R$&quot;\ 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9049039"/>
        <c:crosses val="autoZero"/>
        <c:crossBetween val="between"/>
      </c:valAx>
      <c:valAx>
        <c:axId val="1019039887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9040719"/>
        <c:crosses val="max"/>
        <c:crossBetween val="between"/>
      </c:valAx>
      <c:catAx>
        <c:axId val="101904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9039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55577596921759"/>
          <c:y val="0.42725809359684708"/>
          <c:w val="0.15977036427872668"/>
          <c:h val="0.2498890784838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15</xdr:row>
      <xdr:rowOff>33337</xdr:rowOff>
    </xdr:from>
    <xdr:to>
      <xdr:col>7</xdr:col>
      <xdr:colOff>0</xdr:colOff>
      <xdr:row>29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06FA03-B303-49F0-A2C3-2570FCBCE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38</xdr:row>
      <xdr:rowOff>176212</xdr:rowOff>
    </xdr:from>
    <xdr:to>
      <xdr:col>6</xdr:col>
      <xdr:colOff>409575</xdr:colOff>
      <xdr:row>53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C2D51FB-8510-489B-AE60-85CE08435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561975</xdr:colOff>
      <xdr:row>63</xdr:row>
      <xdr:rowOff>90487</xdr:rowOff>
    </xdr:from>
    <xdr:to>
      <xdr:col>5</xdr:col>
      <xdr:colOff>361950</xdr:colOff>
      <xdr:row>77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D7C18-053A-4ADB-B87C-E2F21D68A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3</xdr:row>
      <xdr:rowOff>47625</xdr:rowOff>
    </xdr:from>
    <xdr:to>
      <xdr:col>4</xdr:col>
      <xdr:colOff>345282</xdr:colOff>
      <xdr:row>6</xdr:row>
      <xdr:rowOff>33337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8648C72-A380-4344-B978-1731221B6FC7}"/>
            </a:ext>
          </a:extLst>
        </xdr:cNvPr>
        <xdr:cNvSpPr/>
      </xdr:nvSpPr>
      <xdr:spPr>
        <a:xfrm>
          <a:off x="295275" y="619125"/>
          <a:ext cx="2169320" cy="557212"/>
        </a:xfrm>
        <a:prstGeom prst="round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9525</xdr:colOff>
      <xdr:row>7</xdr:row>
      <xdr:rowOff>38100</xdr:rowOff>
    </xdr:from>
    <xdr:to>
      <xdr:col>4</xdr:col>
      <xdr:colOff>364332</xdr:colOff>
      <xdr:row>10</xdr:row>
      <xdr:rowOff>23812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642E176-A50D-43C2-8999-D4746C6A283D}"/>
            </a:ext>
          </a:extLst>
        </xdr:cNvPr>
        <xdr:cNvSpPr/>
      </xdr:nvSpPr>
      <xdr:spPr>
        <a:xfrm>
          <a:off x="307181" y="1371600"/>
          <a:ext cx="2176464" cy="557212"/>
        </a:xfrm>
        <a:prstGeom prst="round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233362</xdr:colOff>
      <xdr:row>7</xdr:row>
      <xdr:rowOff>71438</xdr:rowOff>
    </xdr:from>
    <xdr:to>
      <xdr:col>4</xdr:col>
      <xdr:colOff>138112</xdr:colOff>
      <xdr:row>10</xdr:row>
      <xdr:rowOff>14288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042A51B-357F-4A73-BF5E-BA3451D798DC}"/>
            </a:ext>
          </a:extLst>
        </xdr:cNvPr>
        <xdr:cNvSpPr txBox="1"/>
      </xdr:nvSpPr>
      <xdr:spPr>
        <a:xfrm>
          <a:off x="531018" y="1404938"/>
          <a:ext cx="1726407" cy="514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>
                  <a:lumMod val="75000"/>
                </a:schemeClr>
              </a:solidFill>
            </a:rPr>
            <a:t>R$ 1.932.440,00     </a:t>
          </a:r>
          <a:r>
            <a:rPr lang="pt-BR" sz="1100">
              <a:solidFill>
                <a:schemeClr val="accent1">
                  <a:lumMod val="75000"/>
                </a:schemeClr>
              </a:solidFill>
            </a:rPr>
            <a:t>Valor Realizado</a:t>
          </a:r>
        </a:p>
      </xdr:txBody>
    </xdr:sp>
    <xdr:clientData/>
  </xdr:twoCellAnchor>
  <xdr:twoCellAnchor>
    <xdr:from>
      <xdr:col>1</xdr:col>
      <xdr:colOff>28575</xdr:colOff>
      <xdr:row>11</xdr:row>
      <xdr:rowOff>19050</xdr:rowOff>
    </xdr:from>
    <xdr:to>
      <xdr:col>4</xdr:col>
      <xdr:colOff>383382</xdr:colOff>
      <xdr:row>14</xdr:row>
      <xdr:rowOff>4762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9A3E5CC-B6FC-4892-8125-C2B0DBA0DEED}"/>
            </a:ext>
          </a:extLst>
        </xdr:cNvPr>
        <xdr:cNvSpPr/>
      </xdr:nvSpPr>
      <xdr:spPr>
        <a:xfrm>
          <a:off x="326231" y="2114550"/>
          <a:ext cx="2176464" cy="557212"/>
        </a:xfrm>
        <a:prstGeom prst="round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</xdr:colOff>
      <xdr:row>15</xdr:row>
      <xdr:rowOff>38100</xdr:rowOff>
    </xdr:from>
    <xdr:to>
      <xdr:col>4</xdr:col>
      <xdr:colOff>392907</xdr:colOff>
      <xdr:row>18</xdr:row>
      <xdr:rowOff>23812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ABDB39F8-EA8E-409C-8A92-CFBAB4C0C510}"/>
            </a:ext>
          </a:extLst>
        </xdr:cNvPr>
        <xdr:cNvSpPr/>
      </xdr:nvSpPr>
      <xdr:spPr>
        <a:xfrm>
          <a:off x="335756" y="2895600"/>
          <a:ext cx="2176464" cy="557212"/>
        </a:xfrm>
        <a:prstGeom prst="round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19050</xdr:colOff>
      <xdr:row>19</xdr:row>
      <xdr:rowOff>9525</xdr:rowOff>
    </xdr:from>
    <xdr:to>
      <xdr:col>4</xdr:col>
      <xdr:colOff>373857</xdr:colOff>
      <xdr:row>21</xdr:row>
      <xdr:rowOff>185737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48C08442-D4C0-48E2-BEDE-17E6A59CFBCD}"/>
            </a:ext>
          </a:extLst>
        </xdr:cNvPr>
        <xdr:cNvSpPr/>
      </xdr:nvSpPr>
      <xdr:spPr>
        <a:xfrm>
          <a:off x="316706" y="3629025"/>
          <a:ext cx="2176464" cy="557212"/>
        </a:xfrm>
        <a:prstGeom prst="round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23</xdr:row>
      <xdr:rowOff>28575</xdr:rowOff>
    </xdr:from>
    <xdr:to>
      <xdr:col>4</xdr:col>
      <xdr:colOff>383382</xdr:colOff>
      <xdr:row>26</xdr:row>
      <xdr:rowOff>14287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04C67EF4-7901-4651-A26D-319BA2A05084}"/>
            </a:ext>
          </a:extLst>
        </xdr:cNvPr>
        <xdr:cNvSpPr/>
      </xdr:nvSpPr>
      <xdr:spPr>
        <a:xfrm>
          <a:off x="326231" y="4410075"/>
          <a:ext cx="2176464" cy="557212"/>
        </a:xfrm>
        <a:prstGeom prst="round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11906</xdr:colOff>
      <xdr:row>4</xdr:row>
      <xdr:rowOff>11906</xdr:rowOff>
    </xdr:from>
    <xdr:to>
      <xdr:col>10</xdr:col>
      <xdr:colOff>595312</xdr:colOff>
      <xdr:row>17</xdr:row>
      <xdr:rowOff>178594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0354B79-D54D-48FC-AB23-E6998A72B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2378</xdr:colOff>
      <xdr:row>4</xdr:row>
      <xdr:rowOff>9525</xdr:rowOff>
    </xdr:from>
    <xdr:to>
      <xdr:col>18</xdr:col>
      <xdr:colOff>11905</xdr:colOff>
      <xdr:row>17</xdr:row>
      <xdr:rowOff>166687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136446AA-0B03-4D08-AEA2-0A19DD863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559594</xdr:colOff>
      <xdr:row>21</xdr:row>
      <xdr:rowOff>59532</xdr:rowOff>
    </xdr:from>
    <xdr:to>
      <xdr:col>27</xdr:col>
      <xdr:colOff>23812</xdr:colOff>
      <xdr:row>26</xdr:row>
      <xdr:rowOff>83344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39DD4445-2A8F-4343-B6CD-DEB467B96E3A}"/>
            </a:ext>
          </a:extLst>
        </xdr:cNvPr>
        <xdr:cNvSpPr txBox="1"/>
      </xdr:nvSpPr>
      <xdr:spPr>
        <a:xfrm>
          <a:off x="2678907" y="4060032"/>
          <a:ext cx="12942093" cy="976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0">
              <a:solidFill>
                <a:schemeClr val="accent1"/>
              </a:solidFill>
            </a:rPr>
            <a:t>A Máquina 03 apresenta baixo desempenho operacional (OEE 68%) e concentra aproximadamente 69% do prejuízo total da operação.</a:t>
          </a:r>
          <a:br>
            <a:rPr lang="pt-BR" sz="1600" b="0">
              <a:solidFill>
                <a:schemeClr val="accent1"/>
              </a:solidFill>
            </a:rPr>
          </a:br>
          <a:r>
            <a:rPr lang="pt-BR" sz="1600" b="0">
              <a:solidFill>
                <a:schemeClr val="accent1"/>
              </a:solidFill>
            </a:rPr>
            <a:t>As perdas por parada representam 62% do impacto financeiro, indicando oportunidade prioritária de atuação na redução de indisponibilidade.</a:t>
          </a:r>
        </a:p>
      </xdr:txBody>
    </xdr:sp>
    <xdr:clientData/>
  </xdr:twoCellAnchor>
  <xdr:twoCellAnchor>
    <xdr:from>
      <xdr:col>8</xdr:col>
      <xdr:colOff>500063</xdr:colOff>
      <xdr:row>0</xdr:row>
      <xdr:rowOff>59531</xdr:rowOff>
    </xdr:from>
    <xdr:to>
      <xdr:col>20</xdr:col>
      <xdr:colOff>261938</xdr:colOff>
      <xdr:row>2</xdr:row>
      <xdr:rowOff>183356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8CB871F8-48D9-4CF8-967E-FA2FFEC4AEB8}"/>
            </a:ext>
          </a:extLst>
        </xdr:cNvPr>
        <xdr:cNvSpPr txBox="1"/>
      </xdr:nvSpPr>
      <xdr:spPr>
        <a:xfrm>
          <a:off x="5048251" y="59531"/>
          <a:ext cx="6560343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400" b="1">
              <a:solidFill>
                <a:schemeClr val="accent1"/>
              </a:solidFill>
            </a:rPr>
            <a:t>Análise de Eficiência Operacional e Impacto Financeiro</a:t>
          </a:r>
        </a:p>
      </xdr:txBody>
    </xdr:sp>
    <xdr:clientData/>
  </xdr:twoCellAnchor>
  <xdr:twoCellAnchor>
    <xdr:from>
      <xdr:col>8</xdr:col>
      <xdr:colOff>502443</xdr:colOff>
      <xdr:row>2</xdr:row>
      <xdr:rowOff>69057</xdr:rowOff>
    </xdr:from>
    <xdr:to>
      <xdr:col>19</xdr:col>
      <xdr:colOff>261936</xdr:colOff>
      <xdr:row>4</xdr:row>
      <xdr:rowOff>2382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287E26FE-F8C0-4C73-BDEA-90D9B5D92B3C}"/>
            </a:ext>
          </a:extLst>
        </xdr:cNvPr>
        <xdr:cNvSpPr txBox="1"/>
      </xdr:nvSpPr>
      <xdr:spPr>
        <a:xfrm>
          <a:off x="5050631" y="450057"/>
          <a:ext cx="6105524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>
              <a:solidFill>
                <a:schemeClr val="accent1"/>
              </a:solidFill>
            </a:rPr>
            <a:t>Período Analisado</a:t>
          </a:r>
          <a:r>
            <a:rPr lang="pt-BR" sz="1400" baseline="0">
              <a:solidFill>
                <a:schemeClr val="accent1"/>
              </a:solidFill>
            </a:rPr>
            <a:t> : 01/01/2026 a 31/01/2026</a:t>
          </a:r>
          <a:endParaRPr lang="pt-BR" sz="1400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576261</xdr:colOff>
      <xdr:row>3</xdr:row>
      <xdr:rowOff>83344</xdr:rowOff>
    </xdr:from>
    <xdr:to>
      <xdr:col>3</xdr:col>
      <xdr:colOff>476248</xdr:colOff>
      <xdr:row>6</xdr:row>
      <xdr:rowOff>59531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B989B4A0-4541-40E0-A6B6-21382A91A57D}"/>
            </a:ext>
          </a:extLst>
        </xdr:cNvPr>
        <xdr:cNvSpPr txBox="1"/>
      </xdr:nvSpPr>
      <xdr:spPr>
        <a:xfrm>
          <a:off x="873917" y="654844"/>
          <a:ext cx="1114425" cy="547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>
                  <a:lumMod val="75000"/>
                </a:schemeClr>
              </a:solidFill>
            </a:rPr>
            <a:t>79%</a:t>
          </a:r>
          <a:r>
            <a:rPr lang="pt-BR" sz="1100">
              <a:solidFill>
                <a:schemeClr val="accent1">
                  <a:lumMod val="75000"/>
                </a:schemeClr>
              </a:solidFill>
            </a:rPr>
            <a:t>                                            OEE Médio</a:t>
          </a:r>
        </a:p>
      </xdr:txBody>
    </xdr:sp>
    <xdr:clientData/>
  </xdr:twoCellAnchor>
  <xdr:twoCellAnchor>
    <xdr:from>
      <xdr:col>1</xdr:col>
      <xdr:colOff>221457</xdr:colOff>
      <xdr:row>11</xdr:row>
      <xdr:rowOff>42862</xdr:rowOff>
    </xdr:from>
    <xdr:to>
      <xdr:col>4</xdr:col>
      <xdr:colOff>133352</xdr:colOff>
      <xdr:row>13</xdr:row>
      <xdr:rowOff>176212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D0FDEB9C-1FB8-496A-AE36-55C2EFBA0043}"/>
            </a:ext>
          </a:extLst>
        </xdr:cNvPr>
        <xdr:cNvSpPr txBox="1"/>
      </xdr:nvSpPr>
      <xdr:spPr>
        <a:xfrm>
          <a:off x="519113" y="2138362"/>
          <a:ext cx="1733552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rgbClr val="FF0000"/>
              </a:solidFill>
            </a:rPr>
            <a:t>R$ 551.960,00     </a:t>
          </a:r>
          <a:r>
            <a:rPr lang="pt-BR" sz="1100" b="0">
              <a:solidFill>
                <a:schemeClr val="accent1">
                  <a:lumMod val="75000"/>
                </a:schemeClr>
              </a:solidFill>
            </a:rPr>
            <a:t>Perda</a:t>
          </a:r>
          <a:r>
            <a:rPr lang="pt-BR" sz="1100" b="0" baseline="0">
              <a:solidFill>
                <a:schemeClr val="accent1">
                  <a:lumMod val="75000"/>
                </a:schemeClr>
              </a:solidFill>
            </a:rPr>
            <a:t> Total</a:t>
          </a:r>
          <a:endParaRPr lang="pt-BR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126207</xdr:colOff>
      <xdr:row>15</xdr:row>
      <xdr:rowOff>90487</xdr:rowOff>
    </xdr:from>
    <xdr:to>
      <xdr:col>4</xdr:col>
      <xdr:colOff>38102</xdr:colOff>
      <xdr:row>18</xdr:row>
      <xdr:rowOff>33337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B08BB1F8-5E1A-4286-B6AA-0A3EDB551FF5}"/>
            </a:ext>
          </a:extLst>
        </xdr:cNvPr>
        <xdr:cNvSpPr txBox="1"/>
      </xdr:nvSpPr>
      <xdr:spPr>
        <a:xfrm>
          <a:off x="423863" y="2947987"/>
          <a:ext cx="1733552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rgbClr val="FF0000"/>
              </a:solidFill>
            </a:rPr>
            <a:t>R$ 342.300,0     </a:t>
          </a:r>
          <a:r>
            <a:rPr lang="pt-BR" sz="1100" b="0">
              <a:solidFill>
                <a:schemeClr val="accent1">
                  <a:lumMod val="75000"/>
                </a:schemeClr>
              </a:solidFill>
            </a:rPr>
            <a:t>Perda</a:t>
          </a:r>
          <a:r>
            <a:rPr lang="pt-BR" sz="1100" b="0" baseline="0">
              <a:solidFill>
                <a:schemeClr val="accent1">
                  <a:lumMod val="75000"/>
                </a:schemeClr>
              </a:solidFill>
            </a:rPr>
            <a:t> por Parada</a:t>
          </a:r>
          <a:endParaRPr lang="pt-BR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126207</xdr:colOff>
      <xdr:row>19</xdr:row>
      <xdr:rowOff>66674</xdr:rowOff>
    </xdr:from>
    <xdr:to>
      <xdr:col>4</xdr:col>
      <xdr:colOff>38102</xdr:colOff>
      <xdr:row>22</xdr:row>
      <xdr:rowOff>9524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6A1415A8-CFE5-4E62-9491-976C4F35F9E6}"/>
            </a:ext>
          </a:extLst>
        </xdr:cNvPr>
        <xdr:cNvSpPr txBox="1"/>
      </xdr:nvSpPr>
      <xdr:spPr>
        <a:xfrm>
          <a:off x="423863" y="3686174"/>
          <a:ext cx="1733552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rgbClr val="FF0000"/>
              </a:solidFill>
            </a:rPr>
            <a:t>R$ 209.660,00     </a:t>
          </a:r>
          <a:r>
            <a:rPr lang="pt-BR" sz="1100" b="0">
              <a:solidFill>
                <a:schemeClr val="accent1">
                  <a:lumMod val="75000"/>
                </a:schemeClr>
              </a:solidFill>
            </a:rPr>
            <a:t>Perda</a:t>
          </a:r>
          <a:r>
            <a:rPr lang="pt-BR" sz="1100" b="0" baseline="0">
              <a:solidFill>
                <a:schemeClr val="accent1">
                  <a:lumMod val="75000"/>
                </a:schemeClr>
              </a:solidFill>
            </a:rPr>
            <a:t> por Refugo</a:t>
          </a:r>
          <a:endParaRPr lang="pt-BR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107157</xdr:colOff>
      <xdr:row>23</xdr:row>
      <xdr:rowOff>78580</xdr:rowOff>
    </xdr:from>
    <xdr:to>
      <xdr:col>4</xdr:col>
      <xdr:colOff>392906</xdr:colOff>
      <xdr:row>26</xdr:row>
      <xdr:rowOff>21430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A6579D79-5FB1-4E83-836E-290882D35978}"/>
            </a:ext>
          </a:extLst>
        </xdr:cNvPr>
        <xdr:cNvSpPr txBox="1"/>
      </xdr:nvSpPr>
      <xdr:spPr>
        <a:xfrm>
          <a:off x="404813" y="4460080"/>
          <a:ext cx="2107406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rgbClr val="FF0000"/>
              </a:solidFill>
            </a:rPr>
            <a:t>28,56%                        </a:t>
          </a:r>
          <a:r>
            <a:rPr lang="pt-BR" sz="1100" b="0">
              <a:solidFill>
                <a:schemeClr val="accent1">
                  <a:lumMod val="75000"/>
                </a:schemeClr>
              </a:solidFill>
            </a:rPr>
            <a:t> Prejuízo sobre Valor Realizado</a:t>
          </a:r>
          <a:endParaRPr lang="pt-BR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18</xdr:col>
      <xdr:colOff>142875</xdr:colOff>
      <xdr:row>4</xdr:row>
      <xdr:rowOff>11904</xdr:rowOff>
    </xdr:from>
    <xdr:to>
      <xdr:col>28</xdr:col>
      <xdr:colOff>11908</xdr:colOff>
      <xdr:row>18</xdr:row>
      <xdr:rowOff>130969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EFB9252A-C73B-4BB2-B249-C6C15C521709}"/>
            </a:ext>
          </a:extLst>
        </xdr:cNvPr>
        <xdr:cNvGrpSpPr/>
      </xdr:nvGrpSpPr>
      <xdr:grpSpPr>
        <a:xfrm>
          <a:off x="10429875" y="773904"/>
          <a:ext cx="5786439" cy="2786065"/>
          <a:chOff x="10748960" y="773904"/>
          <a:chExt cx="5467354" cy="2619377"/>
        </a:xfrm>
      </xdr:grpSpPr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17831DEA-E81B-4B11-BE37-CFEE9C00DEC0}"/>
              </a:ext>
            </a:extLst>
          </xdr:cNvPr>
          <xdr:cNvGraphicFramePr>
            <a:graphicFrameLocks/>
          </xdr:cNvGraphicFramePr>
        </xdr:nvGraphicFramePr>
        <xdr:xfrm>
          <a:off x="10748960" y="773904"/>
          <a:ext cx="4860134" cy="26193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A6C33C6B-F7C3-4565-9E50-C41A186CC7E5}"/>
              </a:ext>
            </a:extLst>
          </xdr:cNvPr>
          <xdr:cNvGrpSpPr/>
        </xdr:nvGrpSpPr>
        <xdr:grpSpPr>
          <a:xfrm>
            <a:off x="14358937" y="904874"/>
            <a:ext cx="1857377" cy="166687"/>
            <a:chOff x="14728031" y="952499"/>
            <a:chExt cx="1857377" cy="166687"/>
          </a:xfrm>
        </xdr:grpSpPr>
        <xdr:sp macro="" textlink="">
          <xdr:nvSpPr>
            <xdr:cNvPr id="37" name="Retângulo 36">
              <a:extLst>
                <a:ext uri="{FF2B5EF4-FFF2-40B4-BE49-F238E27FC236}">
                  <a16:creationId xmlns:a16="http://schemas.microsoft.com/office/drawing/2014/main" id="{DFEE6CFC-BD5A-4EE0-902A-472147248570}"/>
                </a:ext>
              </a:extLst>
            </xdr:cNvPr>
            <xdr:cNvSpPr/>
          </xdr:nvSpPr>
          <xdr:spPr>
            <a:xfrm>
              <a:off x="14728031" y="988219"/>
              <a:ext cx="83343" cy="95250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112581F9-E408-4A0F-832D-B37084AD9A62}"/>
                </a:ext>
              </a:extLst>
            </xdr:cNvPr>
            <xdr:cNvSpPr txBox="1"/>
          </xdr:nvSpPr>
          <xdr:spPr>
            <a:xfrm>
              <a:off x="14835188" y="952499"/>
              <a:ext cx="1047750" cy="166687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1100"/>
                <a:t>Refugo</a:t>
              </a:r>
            </a:p>
          </xdr:txBody>
        </xdr:sp>
        <xdr:sp macro="" textlink="">
          <xdr:nvSpPr>
            <xdr:cNvPr id="39" name="Retângulo 38">
              <a:extLst>
                <a:ext uri="{FF2B5EF4-FFF2-40B4-BE49-F238E27FC236}">
                  <a16:creationId xmlns:a16="http://schemas.microsoft.com/office/drawing/2014/main" id="{2397DD7F-B5E8-416F-978C-184D52EE4F48}"/>
                </a:ext>
              </a:extLst>
            </xdr:cNvPr>
            <xdr:cNvSpPr/>
          </xdr:nvSpPr>
          <xdr:spPr>
            <a:xfrm>
              <a:off x="15442408" y="1000125"/>
              <a:ext cx="83343" cy="95250"/>
            </a:xfrm>
            <a:prstGeom prst="rect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B97FBA68-9458-4B2D-A5A3-47D11E86864E}"/>
                </a:ext>
              </a:extLst>
            </xdr:cNvPr>
            <xdr:cNvSpPr txBox="1"/>
          </xdr:nvSpPr>
          <xdr:spPr>
            <a:xfrm>
              <a:off x="15537658" y="952499"/>
              <a:ext cx="1047750" cy="166687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1100"/>
                <a:t>Parada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519110</xdr:colOff>
      <xdr:row>13</xdr:row>
      <xdr:rowOff>4761</xdr:rowOff>
    </xdr:from>
    <xdr:to>
      <xdr:col>5</xdr:col>
      <xdr:colOff>609599</xdr:colOff>
      <xdr:row>27</xdr:row>
      <xdr:rowOff>104774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681581-16AA-4FC4-A3ED-C2B94AD96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5339</xdr:colOff>
      <xdr:row>55</xdr:row>
      <xdr:rowOff>66675</xdr:rowOff>
    </xdr:from>
    <xdr:to>
      <xdr:col>7</xdr:col>
      <xdr:colOff>545751</xdr:colOff>
      <xdr:row>77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B49643-AAA6-49F3-AC41-396D40BF6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561975</xdr:colOff>
      <xdr:row>97</xdr:row>
      <xdr:rowOff>166686</xdr:rowOff>
    </xdr:from>
    <xdr:to>
      <xdr:col>5</xdr:col>
      <xdr:colOff>38100</xdr:colOff>
      <xdr:row>112</xdr:row>
      <xdr:rowOff>152399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14B229-B7BC-4C5E-B25C-2E9F1AD17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268941</xdr:colOff>
      <xdr:row>142</xdr:row>
      <xdr:rowOff>90766</xdr:rowOff>
    </xdr:from>
    <xdr:to>
      <xdr:col>7</xdr:col>
      <xdr:colOff>112059</xdr:colOff>
      <xdr:row>160</xdr:row>
      <xdr:rowOff>56029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FDE90E7-6A5E-464D-8584-F55CFB216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16</xdr:row>
      <xdr:rowOff>4762</xdr:rowOff>
    </xdr:from>
    <xdr:to>
      <xdr:col>7</xdr:col>
      <xdr:colOff>114299</xdr:colOff>
      <xdr:row>30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175883-4216-4003-963C-A8CCD6B8C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14285</xdr:colOff>
      <xdr:row>37</xdr:row>
      <xdr:rowOff>76200</xdr:rowOff>
    </xdr:from>
    <xdr:to>
      <xdr:col>8</xdr:col>
      <xdr:colOff>123824</xdr:colOff>
      <xdr:row>51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DCA2F73-ACB9-4EE8-9477-B4E85DAF0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30</xdr:row>
      <xdr:rowOff>76200</xdr:rowOff>
    </xdr:from>
    <xdr:to>
      <xdr:col>7</xdr:col>
      <xdr:colOff>57150</xdr:colOff>
      <xdr:row>36</xdr:row>
      <xdr:rowOff>47625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EA1F3B54-B7F0-4B26-A072-B6508D703EA2}"/>
            </a:ext>
          </a:extLst>
        </xdr:cNvPr>
        <xdr:cNvSpPr txBox="1">
          <a:spLocks noChangeArrowheads="1"/>
        </xdr:cNvSpPr>
      </xdr:nvSpPr>
      <xdr:spPr bwMode="auto">
        <a:xfrm>
          <a:off x="685800" y="5838825"/>
          <a:ext cx="6191250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O turno da Tarde apresenta Performance de 204%, valor superior a 100%.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Performance acima de 100% indica possível inconsistência no Tempo de Ciclo Padrão.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lang="pt-BR" sz="1200" b="0" i="0" baseline="0">
              <a:effectLst/>
              <a:latin typeface="+mn-lt"/>
              <a:ea typeface="+mn-ea"/>
              <a:cs typeface="+mn-cs"/>
            </a:rPr>
            <a:t>O mesmo turno apresenta a menor Qualidade (65%).</a:t>
          </a:r>
          <a:endParaRPr lang="pt-BR" sz="12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38100</xdr:colOff>
      <xdr:row>53</xdr:row>
      <xdr:rowOff>66676</xdr:rowOff>
    </xdr:from>
    <xdr:to>
      <xdr:col>7</xdr:col>
      <xdr:colOff>28575</xdr:colOff>
      <xdr:row>55</xdr:row>
      <xdr:rowOff>142875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8297D64-9842-474A-AA6B-6747A6469B5A}"/>
            </a:ext>
          </a:extLst>
        </xdr:cNvPr>
        <xdr:cNvSpPr txBox="1">
          <a:spLocks noChangeArrowheads="1"/>
        </xdr:cNvSpPr>
      </xdr:nvSpPr>
      <xdr:spPr bwMode="auto">
        <a:xfrm>
          <a:off x="647700" y="10229851"/>
          <a:ext cx="6200775" cy="4667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Quanto maior a Performance, menor a Qualidade.</a:t>
          </a:r>
          <a:endParaRPr lang="pt-BR" sz="12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lang="pt-BR" sz="1200"/>
            <a:t>O turno da Tarde concentra o maior desequilíbrio.</a:t>
          </a:r>
          <a:endParaRPr lang="pt-BR" sz="12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0</xdr:colOff>
      <xdr:row>61</xdr:row>
      <xdr:rowOff>104776</xdr:rowOff>
    </xdr:from>
    <xdr:to>
      <xdr:col>6</xdr:col>
      <xdr:colOff>381000</xdr:colOff>
      <xdr:row>65</xdr:row>
      <xdr:rowOff>9526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39F56C84-B6BC-4E6B-B3D4-99030FC4CBDF}"/>
            </a:ext>
          </a:extLst>
        </xdr:cNvPr>
        <xdr:cNvSpPr txBox="1">
          <a:spLocks noChangeArrowheads="1"/>
        </xdr:cNvSpPr>
      </xdr:nvSpPr>
      <xdr:spPr bwMode="auto">
        <a:xfrm>
          <a:off x="609600" y="11820526"/>
          <a:ext cx="61912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Possível aceleração compensatória devido à baixa disponibilidade.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Tempo de ciclo padrão desatualizado.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Pressão produtiva impactando estabilidade do processo.</a:t>
          </a:r>
          <a:endParaRPr lang="pt-BR" sz="12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19050</xdr:colOff>
      <xdr:row>57</xdr:row>
      <xdr:rowOff>171451</xdr:rowOff>
    </xdr:from>
    <xdr:to>
      <xdr:col>8</xdr:col>
      <xdr:colOff>19050</xdr:colOff>
      <xdr:row>60</xdr:row>
      <xdr:rowOff>57150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B6BA4180-B525-4DF5-B389-C89709A31B31}"/>
            </a:ext>
          </a:extLst>
        </xdr:cNvPr>
        <xdr:cNvSpPr txBox="1">
          <a:spLocks noChangeArrowheads="1"/>
        </xdr:cNvSpPr>
      </xdr:nvSpPr>
      <xdr:spPr bwMode="auto">
        <a:xfrm>
          <a:off x="628650" y="11106151"/>
          <a:ext cx="9696450" cy="4667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O gráfico utiliza eixo secundário para permitir comparação entre variáveis com escalas distintas.</a:t>
          </a:r>
          <a:endParaRPr lang="pt-BR" sz="12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523873</xdr:colOff>
      <xdr:row>79</xdr:row>
      <xdr:rowOff>90486</xdr:rowOff>
    </xdr:from>
    <xdr:to>
      <xdr:col>7</xdr:col>
      <xdr:colOff>200024</xdr:colOff>
      <xdr:row>98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0AD57B-E0D3-4EDE-A0A5-5E49969CB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57150</xdr:colOff>
      <xdr:row>100</xdr:row>
      <xdr:rowOff>95250</xdr:rowOff>
    </xdr:from>
    <xdr:to>
      <xdr:col>5</xdr:col>
      <xdr:colOff>1162050</xdr:colOff>
      <xdr:row>104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6805901C-BBFF-4DD7-A424-A9731FB39E98}"/>
            </a:ext>
          </a:extLst>
        </xdr:cNvPr>
        <xdr:cNvSpPr txBox="1">
          <a:spLocks noChangeArrowheads="1"/>
        </xdr:cNvSpPr>
      </xdr:nvSpPr>
      <xdr:spPr bwMode="auto">
        <a:xfrm>
          <a:off x="666750" y="19250025"/>
          <a:ext cx="71628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Problemas Elétricos e Falta de Operadores treinados representam </a:t>
          </a:r>
          <a:r>
            <a:rPr lang="pt-BR" sz="1200" b="1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76%</a:t>
          </a:r>
          <a:r>
            <a:rPr lang="pt-BR" sz="12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dos tempos de máquina parada.</a:t>
          </a: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 sz="1000"/>
          </a:pPr>
          <a:r>
            <a:rPr lang="pt-BR" sz="1200" b="0" i="0" baseline="0">
              <a:effectLst/>
              <a:latin typeface="+mn-lt"/>
              <a:ea typeface="+mn-ea"/>
              <a:cs typeface="+mn-cs"/>
            </a:rPr>
            <a:t>As três principais causas (Problema Elétrico, Falta de Operador Treinado e Setup) concentram </a:t>
          </a:r>
          <a:r>
            <a:rPr lang="pt-BR" sz="1200" b="1" i="0" baseline="0">
              <a:effectLst/>
              <a:latin typeface="+mn-lt"/>
              <a:ea typeface="+mn-ea"/>
              <a:cs typeface="+mn-cs"/>
            </a:rPr>
            <a:t>88% </a:t>
          </a:r>
          <a:r>
            <a:rPr lang="pt-BR" sz="1200" b="0" i="0" baseline="0">
              <a:effectLst/>
              <a:latin typeface="+mn-lt"/>
              <a:ea typeface="+mn-ea"/>
              <a:cs typeface="+mn-cs"/>
            </a:rPr>
            <a:t>do impacto.</a:t>
          </a:r>
          <a:endParaRPr lang="pt-BR" sz="1200" b="1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581025</xdr:colOff>
      <xdr:row>115</xdr:row>
      <xdr:rowOff>166687</xdr:rowOff>
    </xdr:from>
    <xdr:to>
      <xdr:col>5</xdr:col>
      <xdr:colOff>333375</xdr:colOff>
      <xdr:row>130</xdr:row>
      <xdr:rowOff>52387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A2D9FB-5E82-4F67-99F8-D38ADBC04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133</xdr:row>
      <xdr:rowOff>9526</xdr:rowOff>
    </xdr:from>
    <xdr:to>
      <xdr:col>3</xdr:col>
      <xdr:colOff>1400175</xdr:colOff>
      <xdr:row>134</xdr:row>
      <xdr:rowOff>9526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618E0228-A312-4AA2-85B8-1CF6C06695D5}"/>
            </a:ext>
          </a:extLst>
        </xdr:cNvPr>
        <xdr:cNvSpPr txBox="1">
          <a:spLocks noChangeArrowheads="1"/>
        </xdr:cNvSpPr>
      </xdr:nvSpPr>
      <xdr:spPr bwMode="auto">
        <a:xfrm>
          <a:off x="523875" y="25469851"/>
          <a:ext cx="42481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O turno da</a:t>
          </a:r>
          <a:r>
            <a:rPr lang="pt-BR" sz="1200" baseline="0"/>
            <a:t> tarde </a:t>
          </a:r>
          <a:r>
            <a:rPr lang="pt-BR" sz="1200"/>
            <a:t>concentra maior tempo de parada.</a:t>
          </a:r>
        </a:p>
      </xdr:txBody>
    </xdr:sp>
    <xdr:clientData/>
  </xdr:twoCellAnchor>
  <xdr:twoCellAnchor>
    <xdr:from>
      <xdr:col>0</xdr:col>
      <xdr:colOff>485775</xdr:colOff>
      <xdr:row>136</xdr:row>
      <xdr:rowOff>123825</xdr:rowOff>
    </xdr:from>
    <xdr:to>
      <xdr:col>5</xdr:col>
      <xdr:colOff>981075</xdr:colOff>
      <xdr:row>140</xdr:row>
      <xdr:rowOff>47625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39AF9988-1F86-48CC-AC01-F39AC3D02409}"/>
            </a:ext>
          </a:extLst>
        </xdr:cNvPr>
        <xdr:cNvSpPr txBox="1">
          <a:spLocks noChangeArrowheads="1"/>
        </xdr:cNvSpPr>
      </xdr:nvSpPr>
      <xdr:spPr bwMode="auto">
        <a:xfrm>
          <a:off x="485775" y="26155650"/>
          <a:ext cx="874395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As </a:t>
          </a:r>
          <a:r>
            <a:rPr lang="pt-BR" sz="1200" b="1"/>
            <a:t>788</a:t>
          </a:r>
          <a:r>
            <a:rPr lang="pt-BR" sz="1200"/>
            <a:t> ocorrências de </a:t>
          </a:r>
          <a:r>
            <a:rPr lang="pt-BR" sz="1200" b="1"/>
            <a:t>Problema Elétrico</a:t>
          </a:r>
          <a:r>
            <a:rPr lang="pt-BR" sz="1200"/>
            <a:t> estão concentradas exclusivamente no turno da Tarde.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As 262 ocorrências no turno da Noite estão integralmente associadas à Falta de Operador Treinado.</a:t>
          </a:r>
          <a:endParaRPr lang="pt-BR" sz="1200" b="1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561975</xdr:colOff>
      <xdr:row>150</xdr:row>
      <xdr:rowOff>57149</xdr:rowOff>
    </xdr:from>
    <xdr:to>
      <xdr:col>4</xdr:col>
      <xdr:colOff>66675</xdr:colOff>
      <xdr:row>164</xdr:row>
      <xdr:rowOff>109536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B88388-B69E-4BC5-BCF3-653D69679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19050</xdr:colOff>
      <xdr:row>168</xdr:row>
      <xdr:rowOff>0</xdr:rowOff>
    </xdr:from>
    <xdr:to>
      <xdr:col>4</xdr:col>
      <xdr:colOff>47625</xdr:colOff>
      <xdr:row>169</xdr:row>
      <xdr:rowOff>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4CE8BDF7-2A74-4964-8CD6-32ADFA2B2650}"/>
            </a:ext>
          </a:extLst>
        </xdr:cNvPr>
        <xdr:cNvSpPr txBox="1">
          <a:spLocks noChangeArrowheads="1"/>
        </xdr:cNvSpPr>
      </xdr:nvSpPr>
      <xdr:spPr bwMode="auto">
        <a:xfrm>
          <a:off x="628650" y="32194500"/>
          <a:ext cx="42481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A MAQ03 acumulou </a:t>
          </a:r>
          <a:r>
            <a:rPr lang="pt-BR" sz="1200" b="1"/>
            <a:t>R$ 383.680,00 </a:t>
          </a:r>
          <a:r>
            <a:rPr lang="pt-BR" sz="1200"/>
            <a:t>em perdas operacionais no período analisado.</a:t>
          </a:r>
        </a:p>
      </xdr:txBody>
    </xdr:sp>
    <xdr:clientData/>
  </xdr:twoCellAnchor>
  <xdr:twoCellAnchor>
    <xdr:from>
      <xdr:col>0</xdr:col>
      <xdr:colOff>561975</xdr:colOff>
      <xdr:row>179</xdr:row>
      <xdr:rowOff>85725</xdr:rowOff>
    </xdr:from>
    <xdr:to>
      <xdr:col>3</xdr:col>
      <xdr:colOff>1219200</xdr:colOff>
      <xdr:row>195</xdr:row>
      <xdr:rowOff>28575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6274FEB-7BA3-4173-96F5-A1614BBE9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600075</xdr:colOff>
      <xdr:row>198</xdr:row>
      <xdr:rowOff>57149</xdr:rowOff>
    </xdr:from>
    <xdr:to>
      <xdr:col>5</xdr:col>
      <xdr:colOff>581025</xdr:colOff>
      <xdr:row>201</xdr:row>
      <xdr:rowOff>85725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FA254748-A928-4B2F-9A62-2AEA016938E9}"/>
            </a:ext>
          </a:extLst>
        </xdr:cNvPr>
        <xdr:cNvSpPr txBox="1">
          <a:spLocks noChangeArrowheads="1"/>
        </xdr:cNvSpPr>
      </xdr:nvSpPr>
      <xdr:spPr bwMode="auto">
        <a:xfrm>
          <a:off x="600075" y="37995224"/>
          <a:ext cx="8229600" cy="6000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 b="1"/>
            <a:t>A MAQ03</a:t>
          </a:r>
          <a:r>
            <a:rPr lang="pt-BR" sz="1200"/>
            <a:t> representa </a:t>
          </a:r>
          <a:r>
            <a:rPr lang="pt-BR" sz="1200" b="1"/>
            <a:t>70% </a:t>
          </a:r>
          <a:r>
            <a:rPr lang="pt-BR" sz="1200"/>
            <a:t>do prejuízo total da fábrica.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 b="1"/>
            <a:t>A MAQ03 </a:t>
          </a:r>
          <a:r>
            <a:rPr lang="pt-BR" sz="1200"/>
            <a:t>concentra a maior parcela do impacto financeiro da operação, configurando-se como prioridade crítica de intervenção.</a:t>
          </a:r>
        </a:p>
      </xdr:txBody>
    </xdr:sp>
    <xdr:clientData/>
  </xdr:twoCellAnchor>
  <xdr:twoCellAnchor>
    <xdr:from>
      <xdr:col>0</xdr:col>
      <xdr:colOff>600075</xdr:colOff>
      <xdr:row>203</xdr:row>
      <xdr:rowOff>104774</xdr:rowOff>
    </xdr:from>
    <xdr:to>
      <xdr:col>3</xdr:col>
      <xdr:colOff>523875</xdr:colOff>
      <xdr:row>206</xdr:row>
      <xdr:rowOff>47625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BD72670F-EF2E-4FD9-A5BB-607AC3E2A86A}"/>
            </a:ext>
          </a:extLst>
        </xdr:cNvPr>
        <xdr:cNvSpPr txBox="1">
          <a:spLocks noChangeArrowheads="1"/>
        </xdr:cNvSpPr>
      </xdr:nvSpPr>
      <xdr:spPr bwMode="auto">
        <a:xfrm>
          <a:off x="600075" y="39004874"/>
          <a:ext cx="5324475" cy="514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200"/>
            <a:t>A perda financeira foi estimada com base na capacidade produtiva planejada não realizada durante o tempo de parada..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32</xdr:row>
      <xdr:rowOff>104775</xdr:rowOff>
    </xdr:from>
    <xdr:to>
      <xdr:col>6</xdr:col>
      <xdr:colOff>952500</xdr:colOff>
      <xdr:row>35</xdr:row>
      <xdr:rowOff>161925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E581F9E-3F9B-45EC-B8FA-DD61E53CAB48}"/>
            </a:ext>
          </a:extLst>
        </xdr:cNvPr>
        <xdr:cNvSpPr txBox="1"/>
      </xdr:nvSpPr>
      <xdr:spPr>
        <a:xfrm>
          <a:off x="1276350" y="6267450"/>
          <a:ext cx="5143500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O prejuízo total da operação foi de R$ 551.960,00 no período analisado.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pt-BR"/>
            <a:t>62% das perdas estão associadas a indisponibilidade operacional (paradas)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pt-BR"/>
            <a:t>38% estão relacionadas à perda de qualidade (refugo).</a:t>
          </a:r>
          <a:endParaRPr lang="pt-BR" sz="1100"/>
        </a:p>
      </xdr:txBody>
    </xdr:sp>
    <xdr:clientData/>
  </xdr:twoCellAnchor>
  <xdr:twoCellAnchor>
    <xdr:from>
      <xdr:col>1</xdr:col>
      <xdr:colOff>566737</xdr:colOff>
      <xdr:row>12</xdr:row>
      <xdr:rowOff>61912</xdr:rowOff>
    </xdr:from>
    <xdr:to>
      <xdr:col>8</xdr:col>
      <xdr:colOff>66675</xdr:colOff>
      <xdr:row>28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882CBC5-630B-4CE4-A763-1DDD81A82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57149</xdr:colOff>
      <xdr:row>45</xdr:row>
      <xdr:rowOff>119061</xdr:rowOff>
    </xdr:from>
    <xdr:to>
      <xdr:col>7</xdr:col>
      <xdr:colOff>666749</xdr:colOff>
      <xdr:row>65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0F7C50-19EC-497F-ACF6-CBFA5AF6C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68</xdr:row>
      <xdr:rowOff>0</xdr:rowOff>
    </xdr:from>
    <xdr:to>
      <xdr:col>6</xdr:col>
      <xdr:colOff>895350</xdr:colOff>
      <xdr:row>71</xdr:row>
      <xdr:rowOff>57150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9982EBA-4641-4C5D-9CB2-FC2244BEE5D1}"/>
            </a:ext>
          </a:extLst>
        </xdr:cNvPr>
        <xdr:cNvSpPr txBox="1"/>
      </xdr:nvSpPr>
      <xdr:spPr>
        <a:xfrm>
          <a:off x="1219200" y="13039725"/>
          <a:ext cx="4953000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A </a:t>
          </a:r>
          <a:r>
            <a:rPr lang="pt-BR" b="1"/>
            <a:t>MAQ03</a:t>
          </a:r>
          <a:r>
            <a:rPr lang="pt-BR"/>
            <a:t> concentra </a:t>
          </a:r>
          <a:r>
            <a:rPr lang="pt-BR" b="1"/>
            <a:t>70%</a:t>
          </a:r>
          <a:r>
            <a:rPr lang="pt-BR"/>
            <a:t> do impacto financeiro total.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As demais máquinas possuem impacto significativamente inferior.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A operação apresenta forte concentração de perdas em um único ativo.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pt-BR"/>
        </a:p>
        <a:p>
          <a:pPr marL="171450" indent="-171450">
            <a:buFont typeface="Arial" panose="020B0604020202020204" pitchFamily="34" charset="0"/>
            <a:buChar char="•"/>
          </a:pPr>
          <a:endParaRPr lang="pt-BR" sz="1100"/>
        </a:p>
      </xdr:txBody>
    </xdr:sp>
    <xdr:clientData/>
  </xdr:twoCellAnchor>
  <xdr:twoCellAnchor>
    <xdr:from>
      <xdr:col>2</xdr:col>
      <xdr:colOff>85724</xdr:colOff>
      <xdr:row>80</xdr:row>
      <xdr:rowOff>157162</xdr:rowOff>
    </xdr:from>
    <xdr:to>
      <xdr:col>8</xdr:col>
      <xdr:colOff>304800</xdr:colOff>
      <xdr:row>99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1B8712-FC5B-41D3-8BF2-173D1A24D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600074</xdr:colOff>
      <xdr:row>102</xdr:row>
      <xdr:rowOff>133350</xdr:rowOff>
    </xdr:from>
    <xdr:to>
      <xdr:col>7</xdr:col>
      <xdr:colOff>123824</xdr:colOff>
      <xdr:row>106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EF826B9-6845-4F15-A851-2D291BCBD762}"/>
            </a:ext>
          </a:extLst>
        </xdr:cNvPr>
        <xdr:cNvSpPr txBox="1"/>
      </xdr:nvSpPr>
      <xdr:spPr>
        <a:xfrm>
          <a:off x="1209674" y="19669125"/>
          <a:ext cx="568642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A primeira máquina já representa </a:t>
          </a:r>
          <a:r>
            <a:rPr lang="pt-BR" b="1"/>
            <a:t>70% </a:t>
          </a:r>
          <a:r>
            <a:rPr lang="pt-BR"/>
            <a:t>do prejuízo total.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As duas primeiras somadas representam </a:t>
          </a:r>
          <a:r>
            <a:rPr lang="pt-BR" b="1"/>
            <a:t>85%</a:t>
          </a:r>
          <a:r>
            <a:rPr lang="pt-BR"/>
            <a:t>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Observa-se elevada concentração financeira na operação.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pt-BR"/>
        </a:p>
        <a:p>
          <a:pPr marL="171450" indent="-171450">
            <a:buFont typeface="Arial" panose="020B0604020202020204" pitchFamily="34" charset="0"/>
            <a:buChar char="•"/>
          </a:pPr>
          <a:endParaRPr lang="pt-BR" sz="1100"/>
        </a:p>
      </xdr:txBody>
    </xdr:sp>
    <xdr:clientData/>
  </xdr:twoCellAnchor>
  <xdr:twoCellAnchor>
    <xdr:from>
      <xdr:col>1</xdr:col>
      <xdr:colOff>581024</xdr:colOff>
      <xdr:row>110</xdr:row>
      <xdr:rowOff>171450</xdr:rowOff>
    </xdr:from>
    <xdr:to>
      <xdr:col>7</xdr:col>
      <xdr:colOff>742950</xdr:colOff>
      <xdr:row>116</xdr:row>
      <xdr:rowOff>104775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BB62A9E-85B4-47D9-BA29-FB53BA142F60}"/>
            </a:ext>
          </a:extLst>
        </xdr:cNvPr>
        <xdr:cNvSpPr txBox="1"/>
      </xdr:nvSpPr>
      <xdr:spPr>
        <a:xfrm>
          <a:off x="1190624" y="21326475"/>
          <a:ext cx="6448426" cy="1076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O prejuízo total no período analisado foi </a:t>
          </a:r>
          <a:r>
            <a:rPr lang="pt-BR" b="1"/>
            <a:t>de R$ 551.960,00.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A maior parcela das perdas está associada </a:t>
          </a:r>
          <a:r>
            <a:rPr lang="pt-BR" b="0"/>
            <a:t>a</a:t>
          </a:r>
          <a:r>
            <a:rPr lang="pt-BR" b="1" baseline="0"/>
            <a:t> Perda por Parada</a:t>
          </a:r>
          <a:r>
            <a:rPr lang="pt-BR" b="1"/>
            <a:t>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 b="1"/>
            <a:t>A MAQ03 </a:t>
          </a:r>
          <a:r>
            <a:rPr lang="pt-BR"/>
            <a:t>configura-se como principal vetor de impacto financeiro, concentrando 70% das perdas.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A operação apresenta elevada concentração de risco operacional em um único ativo, configurando vulnerabilidade estrutural.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114300</xdr:rowOff>
    </xdr:from>
    <xdr:to>
      <xdr:col>12</xdr:col>
      <xdr:colOff>495300</xdr:colOff>
      <xdr:row>10</xdr:row>
      <xdr:rowOff>85725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61B6FDE-5574-41A7-8F8D-249D6F855F7C}"/>
            </a:ext>
          </a:extLst>
        </xdr:cNvPr>
        <xdr:cNvSpPr txBox="1"/>
      </xdr:nvSpPr>
      <xdr:spPr>
        <a:xfrm>
          <a:off x="647700" y="1381125"/>
          <a:ext cx="7162800" cy="733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A análise operacional e financeira identificou forte concentração de perdas na MAQ03, responsável por 70% do impacto financeiro total da operação. O ativo apresenta desequilíbrio estrutural nos componentes do OEE, com distorções relevantes de performance, queda de qualidade e elevada indisponibilidade concentrada por turno.</a:t>
          </a:r>
        </a:p>
      </xdr:txBody>
    </xdr:sp>
    <xdr:clientData/>
  </xdr:twoCellAnchor>
  <xdr:twoCellAnchor>
    <xdr:from>
      <xdr:col>1</xdr:col>
      <xdr:colOff>47625</xdr:colOff>
      <xdr:row>12</xdr:row>
      <xdr:rowOff>66675</xdr:rowOff>
    </xdr:from>
    <xdr:to>
      <xdr:col>13</xdr:col>
      <xdr:colOff>142875</xdr:colOff>
      <xdr:row>19</xdr:row>
      <xdr:rowOff>57150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A2CC1F7-3A5B-4489-BB62-1BE8436C7156}"/>
            </a:ext>
          </a:extLst>
        </xdr:cNvPr>
        <xdr:cNvSpPr txBox="1"/>
      </xdr:nvSpPr>
      <xdr:spPr>
        <a:xfrm>
          <a:off x="657225" y="2486025"/>
          <a:ext cx="7410450" cy="1323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• 62% das perdas totais estão associadas a paradas operacionais.</a:t>
          </a:r>
          <a:br>
            <a:rPr lang="pt-BR" sz="1200"/>
          </a:br>
          <a:r>
            <a:rPr lang="pt-BR" sz="1200"/>
            <a:t>• 38% das perdas decorrem de problemas de qualidade (refugo).</a:t>
          </a:r>
          <a:br>
            <a:rPr lang="pt-BR" sz="1200"/>
          </a:br>
          <a:r>
            <a:rPr lang="pt-BR" sz="1200"/>
            <a:t>• A MAQ03 concentra R$ 383.680,00 em perdas no período analisado.</a:t>
          </a:r>
          <a:br>
            <a:rPr lang="pt-BR" sz="1200"/>
          </a:br>
          <a:r>
            <a:rPr lang="pt-BR" sz="1200"/>
            <a:t>• 57% das paradas da MAQ03 estão associadas a problemas elétricos, concentrados no turno da Tarde.</a:t>
          </a:r>
          <a:br>
            <a:rPr lang="pt-BR" sz="1200"/>
          </a:br>
          <a:r>
            <a:rPr lang="pt-BR" sz="1200"/>
            <a:t>• 19% das paradas estão relacionadas à falta de operador treinado, concentradas no turno da Noite.</a:t>
          </a:r>
          <a:br>
            <a:rPr lang="pt-BR" sz="1200"/>
          </a:br>
          <a:r>
            <a:rPr lang="pt-BR" sz="1200"/>
            <a:t>• Observou-se performance superior a 200% no turno da Tarde, acompanhada de queda significativa na qualidade.</a:t>
          </a:r>
        </a:p>
      </xdr:txBody>
    </xdr:sp>
    <xdr:clientData/>
  </xdr:twoCellAnchor>
  <xdr:twoCellAnchor>
    <xdr:from>
      <xdr:col>1</xdr:col>
      <xdr:colOff>57150</xdr:colOff>
      <xdr:row>21</xdr:row>
      <xdr:rowOff>38101</xdr:rowOff>
    </xdr:from>
    <xdr:to>
      <xdr:col>13</xdr:col>
      <xdr:colOff>152400</xdr:colOff>
      <xdr:row>26</xdr:row>
      <xdr:rowOff>38101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6B17B32-6CB0-4FAB-81BC-338502C540E9}"/>
            </a:ext>
          </a:extLst>
        </xdr:cNvPr>
        <xdr:cNvSpPr txBox="1"/>
      </xdr:nvSpPr>
      <xdr:spPr>
        <a:xfrm>
          <a:off x="666750" y="4181476"/>
          <a:ext cx="7410450" cy="952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Os dados indicam que o problema da MAQ03 não é exclusivamente técnico, mas sistêmico, envolvendo fatores de manutenção, capacitação operacional e possível inconsistência de parâmetros produtivos (tempo de ciclo padrão). A concentração financeira evidencia vulnerabilidade estrutural da operação, com elevada dependência de desempenho de um único ativo crítico.</a:t>
          </a:r>
        </a:p>
      </xdr:txBody>
    </xdr:sp>
    <xdr:clientData/>
  </xdr:twoCellAnchor>
  <xdr:twoCellAnchor>
    <xdr:from>
      <xdr:col>0</xdr:col>
      <xdr:colOff>533400</xdr:colOff>
      <xdr:row>28</xdr:row>
      <xdr:rowOff>57151</xdr:rowOff>
    </xdr:from>
    <xdr:to>
      <xdr:col>13</xdr:col>
      <xdr:colOff>19050</xdr:colOff>
      <xdr:row>33</xdr:row>
      <xdr:rowOff>57151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CCC5D58-E4B4-4C37-A0B8-91CD4C94E4BB}"/>
            </a:ext>
          </a:extLst>
        </xdr:cNvPr>
        <xdr:cNvSpPr txBox="1"/>
      </xdr:nvSpPr>
      <xdr:spPr>
        <a:xfrm>
          <a:off x="533400" y="5543551"/>
          <a:ext cx="7410450" cy="952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/>
            <a:t>Diante da concentração de 70% do impacto financeiro em um único ativo, recomenda-se priorizar a estabilização operacional da MAQ03 como principal alavanca de melhoria de resultado. A redução das paradas elétricas e a revisão dos parâmetros operacionais apresentam maior potencial de retorno financeiro no curto prazo.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Neto" refreshedDate="46071.658964814815" createdVersion="7" refreshedVersion="7" minRefreshableVersion="3" recordCount="332" xr:uid="{AB0ED436-8530-42CE-9395-9E813B8A92E0}">
  <cacheSource type="worksheet">
    <worksheetSource name="Base_Analitica_Producao"/>
  </cacheSource>
  <cacheFields count="32">
    <cacheField name="id_registro" numFmtId="0">
      <sharedItems containsSemiMixedTypes="0" containsString="0" containsNumber="1" containsInteger="1" minValue="1" maxValue="332" count="3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</sharedItems>
    </cacheField>
    <cacheField name="data_inicio" numFmtId="14">
      <sharedItems containsSemiMixedTypes="0" containsNonDate="0" containsDate="1" containsString="0" minDate="2026-01-01T00:00:00" maxDate="2026-02-01T00:00:00"/>
    </cacheField>
    <cacheField name="data_fim" numFmtId="14">
      <sharedItems containsSemiMixedTypes="0" containsNonDate="0" containsDate="1" containsString="0" minDate="2026-01-01T00:00:00" maxDate="2026-02-01T00:00:00"/>
    </cacheField>
    <cacheField name="hora_inicio" numFmtId="164">
      <sharedItems containsSemiMixedTypes="0" containsNonDate="0" containsDate="1" containsString="0" minDate="1899-12-30T07:00:00" maxDate="1899-12-30T18:00:00"/>
    </cacheField>
    <cacheField name="hora_fim" numFmtId="164">
      <sharedItems containsSemiMixedTypes="0" containsNonDate="0" containsDate="1" containsString="0" minDate="1899-12-30T08:00:00" maxDate="1899-12-30T19:00:00"/>
    </cacheField>
    <cacheField name="turno" numFmtId="0">
      <sharedItems count="3">
        <s v="Manha"/>
        <s v="Tarde"/>
        <s v="Noite"/>
      </sharedItems>
    </cacheField>
    <cacheField name="id_ordem_producao" numFmtId="0">
      <sharedItems/>
    </cacheField>
    <cacheField name="local_de_envio" numFmtId="0">
      <sharedItems/>
    </cacheField>
    <cacheField name="id_produto" numFmtId="0">
      <sharedItems/>
    </cacheField>
    <cacheField name="nome_produto" numFmtId="0">
      <sharedItems/>
    </cacheField>
    <cacheField name="id_maquina" numFmtId="0">
      <sharedItems count="3">
        <s v="MAQ01"/>
        <s v="MAQ02"/>
        <s v="MAQ03"/>
      </sharedItems>
    </cacheField>
    <cacheField name="id_linha_producao" numFmtId="0">
      <sharedItems/>
    </cacheField>
    <cacheField name="quantidade_planejada_hora" numFmtId="0">
      <sharedItems containsSemiMixedTypes="0" containsString="0" containsNumber="1" containsInteger="1" minValue="80" maxValue="120"/>
    </cacheField>
    <cacheField name="tempo_ciclo_teorico_segundos" numFmtId="0">
      <sharedItems containsSemiMixedTypes="0" containsString="0" containsNumber="1" containsInteger="1" minValue="30" maxValue="45"/>
    </cacheField>
    <cacheField name="tempo_producao_planejado_minutos" numFmtId="0">
      <sharedItems containsSemiMixedTypes="0" containsString="0" containsNumber="1" containsInteger="1" minValue="60" maxValue="60"/>
    </cacheField>
    <cacheField name="tempo_parada_minutos" numFmtId="0">
      <sharedItems containsSemiMixedTypes="0" containsString="0" containsNumber="1" containsInteger="1" minValue="0" maxValue="59"/>
    </cacheField>
    <cacheField name="motivo_parada" numFmtId="0">
      <sharedItems count="14">
        <s v="Setup"/>
        <s v=""/>
        <s v="Manutencao Corretiva"/>
        <s v="Ajuste Ferramenta"/>
        <s v="Falta de Material"/>
        <s v="Problema Eletrico"/>
        <s v="Ajuste Rapido"/>
        <s v="Manutencao Preventiva Programada"/>
        <s v="Setup Pos Manutencao"/>
        <s v="Falta de Componente Secundario"/>
        <s v="Limpeza"/>
        <s v="Quebra Ferramenta"/>
        <s v="Falta Operador Treinado"/>
        <s v="Setup Inicio Turno"/>
      </sharedItems>
    </cacheField>
    <cacheField name="quantidade_produzida_total" numFmtId="0">
      <sharedItems containsSemiMixedTypes="0" containsString="0" containsNumber="1" containsInteger="1" minValue="0" maxValue="131"/>
    </cacheField>
    <cacheField name="quantidade_boa" numFmtId="0">
      <sharedItems containsSemiMixedTypes="0" containsString="0" containsNumber="1" containsInteger="1" minValue="0" maxValue="127"/>
    </cacheField>
    <cacheField name="quantidade_refugada" numFmtId="0">
      <sharedItems containsSemiMixedTypes="0" containsString="0" containsNumber="1" containsInteger="1" minValue="0" maxValue="63"/>
    </cacheField>
    <cacheField name="id_operador" numFmtId="0">
      <sharedItems/>
    </cacheField>
    <cacheField name="nome_operador" numFmtId="0">
      <sharedItems/>
    </cacheField>
    <cacheField name="custo_unitario" numFmtId="0">
      <sharedItems containsSemiMixedTypes="0" containsString="0" containsNumber="1" containsInteger="1" minValue="50" maxValue="120"/>
    </cacheField>
    <cacheField name="prejuizo_refugo" numFmtId="0">
      <sharedItems containsSemiMixedTypes="0" containsString="0" containsNumber="1" containsInteger="1" minValue="0" maxValue="7560" count="47">
        <n v="150"/>
        <n v="50"/>
        <n v="350"/>
        <n v="400"/>
        <n v="0"/>
        <n v="560"/>
        <n v="1080"/>
        <n v="5280"/>
        <n v="320"/>
        <n v="160"/>
        <n v="240"/>
        <n v="1440"/>
        <n v="840"/>
        <n v="5640"/>
        <n v="100"/>
        <n v="300"/>
        <n v="2280"/>
        <n v="640"/>
        <n v="1920"/>
        <n v="1200"/>
        <n v="2160"/>
        <n v="250"/>
        <n v="4560"/>
        <n v="6360"/>
        <n v="480"/>
        <n v="360"/>
        <n v="2520"/>
        <n v="2040"/>
        <n v="960"/>
        <n v="5880"/>
        <n v="80"/>
        <n v="720"/>
        <n v="6480"/>
        <n v="1560"/>
        <n v="1040"/>
        <n v="3720"/>
        <n v="6000"/>
        <n v="5400"/>
        <n v="6720"/>
        <n v="600"/>
        <n v="1320"/>
        <n v="800"/>
        <n v="5760"/>
        <n v="2400"/>
        <n v="6120"/>
        <n v="5160"/>
        <n v="7560"/>
      </sharedItems>
    </cacheField>
    <cacheField name="tempo_em_operacao" numFmtId="0">
      <sharedItems containsSemiMixedTypes="0" containsString="0" containsNumber="1" containsInteger="1" minValue="1" maxValue="60"/>
    </cacheField>
    <cacheField name="disponibilidade" numFmtId="10">
      <sharedItems containsSemiMixedTypes="0" containsString="0" containsNumber="1" minValue="1.6666666666666701E-2" maxValue="1"/>
    </cacheField>
    <cacheField name="performance" numFmtId="10">
      <sharedItems containsSemiMixedTypes="0" containsString="0" containsNumber="1" minValue="0" maxValue="37.5"/>
    </cacheField>
    <cacheField name="qualidade" numFmtId="10">
      <sharedItems containsSemiMixedTypes="0" containsString="0" containsNumber="1" minValue="0" maxValue="1"/>
    </cacheField>
    <cacheField name="oee" numFmtId="10">
      <sharedItems containsSemiMixedTypes="0" containsString="0" containsNumber="1" minValue="0" maxValue="1.08"/>
    </cacheField>
    <cacheField name="perda_por_parada" numFmtId="165">
      <sharedItems containsSemiMixedTypes="0" containsString="0" containsNumber="1" minValue="0" maxValue="9440" count="56">
        <n v="750"/>
        <n v="0"/>
        <n v="916.66669999999999"/>
        <n v="320"/>
        <n v="1280"/>
        <n v="4480"/>
        <n v="500"/>
        <n v="333.33330000000001"/>
        <n v="960"/>
        <n v="480"/>
        <n v="3840"/>
        <n v="2240"/>
        <n v="3520"/>
        <n v="416.66669999999999"/>
        <n v="160"/>
        <n v="1440"/>
        <n v="4800"/>
        <n v="250"/>
        <n v="833.33330000000001"/>
        <n v="1760"/>
        <n v="5920"/>
        <n v="166.66669999999999"/>
        <n v="1920"/>
        <n v="2720"/>
        <n v="4960"/>
        <n v="666.66669999999999"/>
        <n v="1500"/>
        <n v="583.33330000000001"/>
        <n v="3040"/>
        <n v="4640"/>
        <n v="1166.6667"/>
        <n v="5120"/>
        <n v="1333.3333"/>
        <n v="640"/>
        <n v="6720"/>
        <n v="2400"/>
        <n v="1120"/>
        <n v="4160"/>
        <n v="1416.6667"/>
        <n v="6400"/>
        <n v="3680"/>
        <n v="1083.3333"/>
        <n v="1250"/>
        <n v="3200"/>
        <n v="7840"/>
        <n v="1666.6667"/>
        <n v="800"/>
        <n v="9440"/>
        <n v="1600"/>
        <n v="7520"/>
        <n v="2080"/>
        <n v="6240"/>
        <n v="1000"/>
        <n v="6080"/>
        <n v="2880"/>
        <n v="8320"/>
      </sharedItems>
    </cacheField>
    <cacheField name="valor_realizado" numFmtId="165">
      <sharedItems containsSemiMixedTypes="0" containsString="0" containsNumber="1" containsInteger="1" minValue="0" maxValue="10320"/>
    </cacheField>
    <cacheField name="prejuizo_total" numFmtId="165">
      <sharedItems containsSemiMixedTypes="0" containsString="0" containsNumber="1" minValue="0" maxValue="15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">
  <r>
    <x v="0"/>
    <d v="2026-01-01T00:00:00"/>
    <d v="2026-01-01T00:00:00"/>
    <d v="1899-12-30T07:00:00"/>
    <d v="1899-12-30T08:00:00"/>
    <x v="0"/>
    <s v="OP001"/>
    <s v="Sao Paulo"/>
    <s v="PROD_A"/>
    <s v="Componente Alfa"/>
    <x v="0"/>
    <s v="LINHA01"/>
    <n v="100"/>
    <n v="36"/>
    <n v="60"/>
    <n v="9"/>
    <x v="0"/>
    <n v="88"/>
    <n v="85"/>
    <n v="3"/>
    <s v="OP101"/>
    <s v="Paulo"/>
    <n v="50"/>
    <x v="0"/>
    <n v="51"/>
    <n v="0.85"/>
    <n v="1.03529411764706"/>
    <n v="0.96590909090909105"/>
    <n v="0.85000000000000098"/>
    <x v="0"/>
    <n v="4250"/>
    <n v="900"/>
  </r>
  <r>
    <x v="1"/>
    <d v="2026-01-01T00:00:00"/>
    <d v="2026-01-01T00:00:00"/>
    <d v="1899-12-30T08:00:00"/>
    <d v="1899-12-30T09:00:00"/>
    <x v="0"/>
    <s v="OP002"/>
    <s v="Piaui"/>
    <s v="PROD_A"/>
    <s v="Componente Alfa"/>
    <x v="0"/>
    <s v="LINHA01"/>
    <n v="100"/>
    <n v="36"/>
    <n v="60"/>
    <n v="0"/>
    <x v="1"/>
    <n v="88"/>
    <n v="87"/>
    <n v="1"/>
    <s v="OP101"/>
    <s v="Paulo"/>
    <n v="50"/>
    <x v="1"/>
    <n v="60"/>
    <n v="1"/>
    <n v="0.88"/>
    <n v="0.98863636363636398"/>
    <n v="0.87"/>
    <x v="1"/>
    <n v="4350"/>
    <n v="50"/>
  </r>
  <r>
    <x v="2"/>
    <d v="2026-01-01T00:00:00"/>
    <d v="2026-01-01T00:00:00"/>
    <d v="1899-12-30T09:00:00"/>
    <d v="1899-12-30T10:00:00"/>
    <x v="0"/>
    <s v="OP003"/>
    <s v="Sao Paulo"/>
    <s v="PROD_A"/>
    <s v="Componente Alfa"/>
    <x v="0"/>
    <s v="LINHA01"/>
    <n v="100"/>
    <n v="36"/>
    <n v="60"/>
    <n v="11"/>
    <x v="2"/>
    <n v="80"/>
    <n v="73"/>
    <n v="7"/>
    <s v="OP102"/>
    <s v="Davi"/>
    <n v="50"/>
    <x v="2"/>
    <n v="49"/>
    <n v="0.81666666666666698"/>
    <n v="0.97959183673469397"/>
    <n v="0.91249999999999998"/>
    <n v="0.73"/>
    <x v="2"/>
    <n v="3650"/>
    <n v="1266.6667"/>
  </r>
  <r>
    <x v="3"/>
    <d v="2026-01-01T00:00:00"/>
    <d v="2026-01-01T00:00:00"/>
    <d v="1899-12-30T10:00:00"/>
    <d v="1899-12-30T11:00:00"/>
    <x v="0"/>
    <s v="OP004"/>
    <s v="Sao Paulo"/>
    <s v="PROD_B"/>
    <s v="Peca Beta"/>
    <x v="1"/>
    <s v="LINHA01"/>
    <n v="120"/>
    <n v="30"/>
    <n v="60"/>
    <n v="2"/>
    <x v="3"/>
    <n v="109"/>
    <n v="104"/>
    <n v="5"/>
    <s v="OP103"/>
    <s v="Joao"/>
    <n v="80"/>
    <x v="3"/>
    <n v="58"/>
    <n v="0.96666666666666701"/>
    <n v="0.93965517241379304"/>
    <n v="0.95412844036697197"/>
    <n v="0.86666666666666603"/>
    <x v="3"/>
    <n v="8320"/>
    <n v="720"/>
  </r>
  <r>
    <x v="4"/>
    <d v="2026-01-01T00:00:00"/>
    <d v="2026-01-01T00:00:00"/>
    <d v="1899-12-30T11:00:00"/>
    <d v="1899-12-30T12:00:00"/>
    <x v="0"/>
    <s v="OP005"/>
    <s v="Sao Paulo"/>
    <s v="PROD_B"/>
    <s v="Peca Beta"/>
    <x v="1"/>
    <s v="LINHA01"/>
    <n v="120"/>
    <n v="30"/>
    <n v="60"/>
    <n v="0"/>
    <x v="1"/>
    <n v="123"/>
    <n v="123"/>
    <n v="0"/>
    <s v="OP103"/>
    <s v="Joao"/>
    <n v="80"/>
    <x v="4"/>
    <n v="60"/>
    <n v="1"/>
    <n v="1.0249999999999999"/>
    <n v="1"/>
    <n v="1.0249999999999999"/>
    <x v="1"/>
    <n v="9840"/>
    <n v="0"/>
  </r>
  <r>
    <x v="5"/>
    <d v="2026-01-01T00:00:00"/>
    <d v="2026-01-01T00:00:00"/>
    <d v="1899-12-30T12:00:00"/>
    <d v="1899-12-30T13:00:00"/>
    <x v="0"/>
    <s v="OP006"/>
    <s v="Piaui"/>
    <s v="PROD_B"/>
    <s v="Peca Beta"/>
    <x v="1"/>
    <s v="LINHA01"/>
    <n v="120"/>
    <n v="30"/>
    <n v="60"/>
    <n v="8"/>
    <x v="4"/>
    <n v="105"/>
    <n v="98"/>
    <n v="7"/>
    <s v="OP104"/>
    <s v="Anna"/>
    <n v="80"/>
    <x v="5"/>
    <n v="52"/>
    <n v="0.86666666666666703"/>
    <n v="1.0096153846153799"/>
    <n v="0.93333333333333302"/>
    <n v="0.81666666666666299"/>
    <x v="4"/>
    <n v="7840"/>
    <n v="1840"/>
  </r>
  <r>
    <x v="6"/>
    <d v="2026-01-01T00:00:00"/>
    <d v="2026-01-01T00:00:00"/>
    <d v="1899-12-30T13:00:00"/>
    <d v="1899-12-30T14:00:00"/>
    <x v="1"/>
    <s v="OP007"/>
    <s v="Bahia"/>
    <s v="PROD_C"/>
    <s v="Conjunto Gama"/>
    <x v="2"/>
    <s v="LINHA02"/>
    <n v="80"/>
    <n v="45"/>
    <n v="60"/>
    <n v="8"/>
    <x v="0"/>
    <n v="70"/>
    <n v="70"/>
    <n v="0"/>
    <s v="OP201"/>
    <s v="Lucia"/>
    <n v="120"/>
    <x v="4"/>
    <n v="52"/>
    <n v="0.86666666666666703"/>
    <n v="1.0096153846153799"/>
    <n v="1"/>
    <n v="0.874999999999996"/>
    <x v="4"/>
    <n v="8400"/>
    <n v="1280"/>
  </r>
  <r>
    <x v="7"/>
    <d v="2026-01-01T00:00:00"/>
    <d v="2026-01-01T00:00:00"/>
    <d v="1899-12-30T14:00:00"/>
    <d v="1899-12-30T15:00:00"/>
    <x v="1"/>
    <s v="OP008"/>
    <s v="Bahia"/>
    <s v="PROD_C"/>
    <s v="Conjunto Gama"/>
    <x v="2"/>
    <s v="LINHA02"/>
    <n v="80"/>
    <n v="45"/>
    <n v="60"/>
    <n v="0"/>
    <x v="1"/>
    <n v="82"/>
    <n v="73"/>
    <n v="9"/>
    <s v="OP201"/>
    <s v="Lucia"/>
    <n v="120"/>
    <x v="6"/>
    <n v="60"/>
    <n v="1"/>
    <n v="1.0249999999999999"/>
    <n v="0.89024390243902396"/>
    <n v="0.91249999999999998"/>
    <x v="1"/>
    <n v="8760"/>
    <n v="1080"/>
  </r>
  <r>
    <x v="8"/>
    <d v="2026-01-01T00:00:00"/>
    <d v="2026-01-01T00:00:00"/>
    <d v="1899-12-30T15:00:00"/>
    <d v="1899-12-30T16:00:00"/>
    <x v="1"/>
    <s v="OP009"/>
    <s v="Para"/>
    <s v="PROD_C"/>
    <s v="Conjunto Gama"/>
    <x v="2"/>
    <s v="LINHA02"/>
    <n v="80"/>
    <n v="45"/>
    <n v="60"/>
    <n v="28"/>
    <x v="5"/>
    <n v="53"/>
    <n v="9"/>
    <n v="44"/>
    <s v="OP202"/>
    <s v="Mariana"/>
    <n v="120"/>
    <x v="7"/>
    <n v="32"/>
    <n v="0.53333333333333299"/>
    <n v="1.2421875"/>
    <n v="0.169811320754717"/>
    <n v="0.1125"/>
    <x v="5"/>
    <n v="1080"/>
    <n v="9760"/>
  </r>
  <r>
    <x v="9"/>
    <d v="2026-01-01T00:00:00"/>
    <d v="2026-01-01T00:00:00"/>
    <d v="1899-12-30T16:00:00"/>
    <d v="1899-12-30T17:00:00"/>
    <x v="1"/>
    <s v="OP010"/>
    <s v="Bahia"/>
    <s v="PROD_A"/>
    <s v="Componente Alfa"/>
    <x v="0"/>
    <s v="LINHA01"/>
    <n v="100"/>
    <n v="36"/>
    <n v="60"/>
    <n v="6"/>
    <x v="0"/>
    <n v="95"/>
    <n v="92"/>
    <n v="3"/>
    <s v="OP203"/>
    <s v="Jorge"/>
    <n v="50"/>
    <x v="0"/>
    <n v="54"/>
    <n v="0.9"/>
    <n v="1.05555555555556"/>
    <n v="0.96842105263157896"/>
    <n v="0.92000000000000404"/>
    <x v="6"/>
    <n v="4600"/>
    <n v="650"/>
  </r>
  <r>
    <x v="10"/>
    <d v="2026-01-01T00:00:00"/>
    <d v="2026-01-01T00:00:00"/>
    <d v="1899-12-30T17:00:00"/>
    <d v="1899-12-30T18:00:00"/>
    <x v="1"/>
    <s v="OP011"/>
    <s v="Sao Paulo"/>
    <s v="PROD_A"/>
    <s v="Componente Alfa"/>
    <x v="0"/>
    <s v="LINHA01"/>
    <n v="100"/>
    <n v="36"/>
    <n v="60"/>
    <n v="0"/>
    <x v="1"/>
    <n v="93"/>
    <n v="92"/>
    <n v="1"/>
    <s v="OP301"/>
    <s v="Luis"/>
    <n v="50"/>
    <x v="1"/>
    <n v="60"/>
    <n v="1"/>
    <n v="0.93"/>
    <n v="0.989247311827957"/>
    <n v="0.92"/>
    <x v="1"/>
    <n v="4600"/>
    <n v="50"/>
  </r>
  <r>
    <x v="11"/>
    <d v="2026-01-01T00:00:00"/>
    <d v="2026-01-01T00:00:00"/>
    <d v="1899-12-30T17:00:00"/>
    <d v="1899-12-30T18:00:00"/>
    <x v="1"/>
    <s v="OP012"/>
    <s v="Sao Paulo"/>
    <s v="PROD_A"/>
    <s v="Componente Alfa"/>
    <x v="0"/>
    <s v="LINHA01"/>
    <n v="100"/>
    <n v="36"/>
    <n v="60"/>
    <n v="4"/>
    <x v="6"/>
    <n v="86"/>
    <n v="86"/>
    <n v="0"/>
    <s v="OP301"/>
    <s v="Luis"/>
    <n v="50"/>
    <x v="4"/>
    <n v="56"/>
    <n v="0.93333333333333302"/>
    <n v="0.92142857142857204"/>
    <n v="1"/>
    <n v="0.86"/>
    <x v="7"/>
    <n v="4300"/>
    <n v="333.33330000000001"/>
  </r>
  <r>
    <x v="12"/>
    <d v="2026-01-02T00:00:00"/>
    <d v="2026-01-02T00:00:00"/>
    <d v="1899-12-30T07:00:00"/>
    <d v="1899-12-30T08:00:00"/>
    <x v="0"/>
    <s v="OP013"/>
    <s v="Parana"/>
    <s v="PROD_B"/>
    <s v="Peca Beta"/>
    <x v="1"/>
    <s v="LINHA01"/>
    <n v="120"/>
    <n v="30"/>
    <n v="60"/>
    <n v="0"/>
    <x v="1"/>
    <n v="122"/>
    <n v="118"/>
    <n v="4"/>
    <s v="OP101"/>
    <s v="Paulo"/>
    <n v="80"/>
    <x v="8"/>
    <n v="60"/>
    <n v="1"/>
    <n v="1.0166666666666699"/>
    <n v="0.96721311475409799"/>
    <n v="0.98333333333333595"/>
    <x v="1"/>
    <n v="9440"/>
    <n v="320"/>
  </r>
  <r>
    <x v="13"/>
    <d v="2026-01-02T00:00:00"/>
    <d v="2026-01-02T00:00:00"/>
    <d v="1899-12-30T08:00:00"/>
    <d v="1899-12-30T09:00:00"/>
    <x v="0"/>
    <s v="OP014"/>
    <s v="Parana"/>
    <s v="PROD_B"/>
    <s v="Peca Beta"/>
    <x v="1"/>
    <s v="LINHA01"/>
    <n v="120"/>
    <n v="30"/>
    <n v="60"/>
    <n v="6"/>
    <x v="7"/>
    <n v="0"/>
    <n v="0"/>
    <n v="0"/>
    <s v="OP102"/>
    <s v="Davi"/>
    <n v="80"/>
    <x v="4"/>
    <n v="54"/>
    <n v="0.9"/>
    <n v="0"/>
    <n v="0"/>
    <n v="0"/>
    <x v="8"/>
    <n v="0"/>
    <n v="960"/>
  </r>
  <r>
    <x v="14"/>
    <d v="2026-01-02T00:00:00"/>
    <d v="2026-01-02T00:00:00"/>
    <d v="1899-12-30T09:00:00"/>
    <d v="1899-12-30T10:00:00"/>
    <x v="0"/>
    <s v="OP015"/>
    <s v="Mato Grosso do Sul"/>
    <s v="PROD_B"/>
    <s v="Peca Beta"/>
    <x v="1"/>
    <s v="LINHA01"/>
    <n v="120"/>
    <n v="30"/>
    <n v="60"/>
    <n v="3"/>
    <x v="8"/>
    <n v="121"/>
    <n v="119"/>
    <n v="2"/>
    <s v="OP102"/>
    <s v="Davi"/>
    <n v="80"/>
    <x v="9"/>
    <n v="57"/>
    <n v="0.95"/>
    <n v="1.06140350877193"/>
    <n v="0.98347107438016501"/>
    <n v="0.99166666666666603"/>
    <x v="9"/>
    <n v="9520"/>
    <n v="640"/>
  </r>
  <r>
    <x v="15"/>
    <d v="2026-01-02T00:00:00"/>
    <d v="2026-01-02T00:00:00"/>
    <d v="1899-12-30T10:00:00"/>
    <d v="1899-12-30T11:00:00"/>
    <x v="0"/>
    <s v="OP016"/>
    <s v="Parana"/>
    <s v="PROD_C"/>
    <s v="Conjunto Gama"/>
    <x v="2"/>
    <s v="LINHA02"/>
    <n v="80"/>
    <n v="45"/>
    <n v="60"/>
    <n v="0"/>
    <x v="1"/>
    <n v="86"/>
    <n v="84"/>
    <n v="2"/>
    <s v="OP103"/>
    <s v="Joao"/>
    <n v="120"/>
    <x v="10"/>
    <n v="60"/>
    <n v="1"/>
    <n v="1.075"/>
    <n v="0.97674418604651203"/>
    <n v="1.05"/>
    <x v="1"/>
    <n v="10080"/>
    <n v="240"/>
  </r>
  <r>
    <x v="16"/>
    <d v="2026-01-02T00:00:00"/>
    <d v="2026-01-02T00:00:00"/>
    <d v="1899-12-30T11:00:00"/>
    <d v="1899-12-30T12:00:00"/>
    <x v="0"/>
    <s v="OP017"/>
    <s v="Bahia"/>
    <s v="PROD_C"/>
    <s v="Conjunto Gama"/>
    <x v="2"/>
    <s v="LINHA02"/>
    <n v="80"/>
    <n v="45"/>
    <n v="60"/>
    <n v="24"/>
    <x v="9"/>
    <n v="60"/>
    <n v="60"/>
    <n v="0"/>
    <s v="OP104"/>
    <s v="Anna"/>
    <n v="120"/>
    <x v="4"/>
    <n v="36"/>
    <n v="0.6"/>
    <n v="1.25"/>
    <n v="1"/>
    <n v="0.75"/>
    <x v="10"/>
    <n v="7200"/>
    <n v="3840"/>
  </r>
  <r>
    <x v="17"/>
    <d v="2026-01-02T00:00:00"/>
    <d v="2026-01-02T00:00:00"/>
    <d v="1899-12-30T12:00:00"/>
    <d v="1899-12-30T13:00:00"/>
    <x v="1"/>
    <s v="OP018"/>
    <s v="Sao Paulo"/>
    <s v="PROD_A"/>
    <s v="Componente Alfa"/>
    <x v="0"/>
    <s v="LINHA01"/>
    <n v="100"/>
    <n v="36"/>
    <n v="60"/>
    <n v="0"/>
    <x v="1"/>
    <n v="107"/>
    <n v="104"/>
    <n v="3"/>
    <s v="OP201"/>
    <s v="Lucia"/>
    <n v="50"/>
    <x v="0"/>
    <n v="60"/>
    <n v="1"/>
    <n v="1.07"/>
    <n v="0.97196261682243001"/>
    <n v="1.04"/>
    <x v="1"/>
    <n v="5200"/>
    <n v="150"/>
  </r>
  <r>
    <x v="18"/>
    <d v="2026-01-02T00:00:00"/>
    <d v="2026-01-02T00:00:00"/>
    <d v="1899-12-30T13:00:00"/>
    <d v="1899-12-30T14:00:00"/>
    <x v="1"/>
    <s v="OP019"/>
    <s v="Goias"/>
    <s v="PROD_A"/>
    <s v="Componente Alfa"/>
    <x v="0"/>
    <s v="LINHA01"/>
    <n v="100"/>
    <n v="36"/>
    <n v="60"/>
    <n v="6"/>
    <x v="10"/>
    <n v="94"/>
    <n v="94"/>
    <n v="0"/>
    <s v="OP202"/>
    <s v="Mariana"/>
    <n v="50"/>
    <x v="4"/>
    <n v="54"/>
    <n v="0.9"/>
    <n v="1.0444444444444401"/>
    <n v="1"/>
    <n v="0.93999999999999595"/>
    <x v="6"/>
    <n v="4700"/>
    <n v="500"/>
  </r>
  <r>
    <x v="19"/>
    <d v="2026-01-02T00:00:00"/>
    <d v="2026-01-02T00:00:00"/>
    <d v="1899-12-30T14:00:00"/>
    <d v="1899-12-30T15:00:00"/>
    <x v="1"/>
    <s v="OP020"/>
    <s v="Parana"/>
    <s v="PROD_B"/>
    <s v="Peca Beta"/>
    <x v="1"/>
    <s v="LINHA01"/>
    <n v="120"/>
    <n v="30"/>
    <n v="60"/>
    <n v="0"/>
    <x v="1"/>
    <n v="118"/>
    <n v="113"/>
    <n v="5"/>
    <s v="OP203"/>
    <s v="Jorge"/>
    <n v="80"/>
    <x v="3"/>
    <n v="60"/>
    <n v="1"/>
    <n v="0.98333333333333295"/>
    <n v="0.95762711864406802"/>
    <n v="0.94166666666666599"/>
    <x v="1"/>
    <n v="9040"/>
    <n v="400"/>
  </r>
  <r>
    <x v="20"/>
    <d v="2026-01-02T00:00:00"/>
    <d v="2026-01-02T00:00:00"/>
    <d v="1899-12-30T15:00:00"/>
    <d v="1899-12-30T16:00:00"/>
    <x v="1"/>
    <s v="OP021"/>
    <s v="Para"/>
    <s v="PROD_B"/>
    <s v="Peca Beta"/>
    <x v="1"/>
    <s v="LINHA01"/>
    <n v="120"/>
    <n v="30"/>
    <n v="60"/>
    <n v="14"/>
    <x v="11"/>
    <n v="79"/>
    <n v="61"/>
    <n v="18"/>
    <s v="OP201"/>
    <s v="Lucia"/>
    <n v="80"/>
    <x v="11"/>
    <n v="46"/>
    <n v="0.76666666666666705"/>
    <n v="0.85869565217391297"/>
    <n v="0.772151898734177"/>
    <n v="0.50833333333333297"/>
    <x v="11"/>
    <n v="4880"/>
    <n v="3680"/>
  </r>
  <r>
    <x v="21"/>
    <d v="2026-01-02T00:00:00"/>
    <d v="2026-01-02T00:00:00"/>
    <d v="1899-12-30T17:00:00"/>
    <d v="1899-12-30T18:00:00"/>
    <x v="2"/>
    <s v="OP022"/>
    <s v="Minas Gerais"/>
    <s v="PROD_C"/>
    <s v="Conjunto Gama"/>
    <x v="2"/>
    <s v="LINHA02"/>
    <n v="80"/>
    <n v="45"/>
    <n v="60"/>
    <n v="0"/>
    <x v="1"/>
    <n v="86"/>
    <n v="86"/>
    <n v="0"/>
    <s v="OP302"/>
    <s v="Jose"/>
    <n v="120"/>
    <x v="4"/>
    <n v="60"/>
    <n v="1"/>
    <n v="1.075"/>
    <n v="1"/>
    <n v="1.075"/>
    <x v="1"/>
    <n v="10320"/>
    <n v="0"/>
  </r>
  <r>
    <x v="22"/>
    <d v="2026-01-02T00:00:00"/>
    <d v="2026-01-02T00:00:00"/>
    <d v="1899-12-30T18:00:00"/>
    <d v="1899-12-30T19:00:00"/>
    <x v="2"/>
    <s v="OP023"/>
    <s v="Para"/>
    <s v="PROD_C"/>
    <s v="Conjunto Gama"/>
    <x v="2"/>
    <s v="LINHA02"/>
    <n v="80"/>
    <n v="45"/>
    <n v="60"/>
    <n v="22"/>
    <x v="12"/>
    <n v="56"/>
    <n v="49"/>
    <n v="7"/>
    <s v="OP302"/>
    <s v="Jose"/>
    <n v="120"/>
    <x v="12"/>
    <n v="38"/>
    <n v="0.63333333333333297"/>
    <n v="1.1052631578947401"/>
    <n v="0.875"/>
    <n v="0.61250000000000104"/>
    <x v="12"/>
    <n v="5880"/>
    <n v="4360"/>
  </r>
  <r>
    <x v="23"/>
    <d v="2026-01-03T00:00:00"/>
    <d v="2026-01-03T00:00:00"/>
    <d v="1899-12-30T07:00:00"/>
    <d v="1899-12-30T08:00:00"/>
    <x v="0"/>
    <s v="OP024"/>
    <s v="Piaui"/>
    <s v="PROD_A"/>
    <s v="Componente Alfa"/>
    <x v="0"/>
    <s v="LINHA01"/>
    <n v="100"/>
    <n v="36"/>
    <n v="60"/>
    <n v="5"/>
    <x v="13"/>
    <n v="97"/>
    <n v="94"/>
    <n v="3"/>
    <s v="OP101"/>
    <s v="Paulo"/>
    <n v="50"/>
    <x v="0"/>
    <n v="55"/>
    <n v="0.91666666666666596"/>
    <n v="1.0581818181818201"/>
    <n v="0.96907216494845405"/>
    <n v="0.94000000000000095"/>
    <x v="13"/>
    <n v="4700"/>
    <n v="566.66669999999999"/>
  </r>
  <r>
    <x v="24"/>
    <d v="2026-01-03T00:00:00"/>
    <d v="2026-01-03T00:00:00"/>
    <d v="1899-12-30T08:00:00"/>
    <d v="1899-12-30T09:00:00"/>
    <x v="0"/>
    <s v="OP025"/>
    <s v="Mato Grosso do Sul"/>
    <s v="PROD_A"/>
    <s v="Componente Alfa"/>
    <x v="0"/>
    <s v="LINHA01"/>
    <n v="100"/>
    <n v="36"/>
    <n v="60"/>
    <n v="0"/>
    <x v="1"/>
    <n v="91"/>
    <n v="91"/>
    <n v="0"/>
    <s v="OP101"/>
    <s v="Paulo"/>
    <n v="50"/>
    <x v="4"/>
    <n v="60"/>
    <n v="1"/>
    <n v="0.91"/>
    <n v="1"/>
    <n v="0.91"/>
    <x v="1"/>
    <n v="4550"/>
    <n v="0"/>
  </r>
  <r>
    <x v="25"/>
    <d v="2026-01-03T00:00:00"/>
    <d v="2026-01-03T00:00:00"/>
    <d v="1899-12-30T09:00:00"/>
    <d v="1899-12-30T10:00:00"/>
    <x v="0"/>
    <s v="OP026"/>
    <s v="Bahia"/>
    <s v="PROD_A"/>
    <s v="Componente Alfa"/>
    <x v="0"/>
    <s v="LINHA01"/>
    <n v="100"/>
    <n v="36"/>
    <n v="60"/>
    <n v="6"/>
    <x v="0"/>
    <n v="86"/>
    <n v="83"/>
    <n v="3"/>
    <s v="OP101"/>
    <s v="Paulo"/>
    <n v="50"/>
    <x v="0"/>
    <n v="54"/>
    <n v="0.9"/>
    <n v="0.95555555555555605"/>
    <n v="0.96511627906976805"/>
    <n v="0.83000000000000096"/>
    <x v="6"/>
    <n v="4150"/>
    <n v="650"/>
  </r>
  <r>
    <x v="26"/>
    <d v="2026-01-03T00:00:00"/>
    <d v="2026-01-03T00:00:00"/>
    <d v="1899-12-30T10:00:00"/>
    <d v="1899-12-30T11:00:00"/>
    <x v="0"/>
    <s v="OP027"/>
    <s v="Piaui"/>
    <s v="PROD_A"/>
    <s v="Componente Alfa"/>
    <x v="0"/>
    <s v="LINHA01"/>
    <n v="100"/>
    <n v="36"/>
    <n v="60"/>
    <n v="11"/>
    <x v="2"/>
    <n v="71"/>
    <n v="64"/>
    <n v="7"/>
    <s v="OP102"/>
    <s v="Davi"/>
    <n v="50"/>
    <x v="2"/>
    <n v="49"/>
    <n v="0.81666666666666698"/>
    <n v="0.86938775510204103"/>
    <n v="0.90140845070422504"/>
    <n v="0.64"/>
    <x v="2"/>
    <n v="3200"/>
    <n v="1266.6667"/>
  </r>
  <r>
    <x v="27"/>
    <d v="2026-01-03T00:00:00"/>
    <d v="2026-01-03T00:00:00"/>
    <d v="1899-12-30T11:00:00"/>
    <d v="1899-12-30T12:00:00"/>
    <x v="0"/>
    <s v="OP028"/>
    <s v="Piaui"/>
    <s v="PROD_B"/>
    <s v="Peca Beta"/>
    <x v="1"/>
    <s v="LINHA01"/>
    <n v="120"/>
    <n v="30"/>
    <n v="60"/>
    <n v="1"/>
    <x v="3"/>
    <n v="119"/>
    <n v="116"/>
    <n v="3"/>
    <s v="OP103"/>
    <s v="Joao"/>
    <n v="80"/>
    <x v="10"/>
    <n v="59"/>
    <n v="0.98333333333333295"/>
    <n v="1.00847457627119"/>
    <n v="0.97478991596638598"/>
    <n v="0.96666666666666901"/>
    <x v="14"/>
    <n v="9280"/>
    <n v="400"/>
  </r>
  <r>
    <x v="28"/>
    <d v="2026-01-03T00:00:00"/>
    <d v="2026-01-03T00:00:00"/>
    <d v="1899-12-30T12:00:00"/>
    <d v="1899-12-30T13:00:00"/>
    <x v="1"/>
    <s v="OP029"/>
    <s v="Parana"/>
    <s v="PROD_C"/>
    <s v="Conjunto Gama"/>
    <x v="2"/>
    <s v="LINHA02"/>
    <n v="80"/>
    <n v="45"/>
    <n v="60"/>
    <n v="9"/>
    <x v="0"/>
    <n v="80"/>
    <n v="80"/>
    <n v="0"/>
    <s v="OP201"/>
    <s v="Lucia"/>
    <n v="120"/>
    <x v="4"/>
    <n v="51"/>
    <n v="0.85"/>
    <n v="1.1764705882352899"/>
    <n v="1"/>
    <n v="0.999999999999996"/>
    <x v="15"/>
    <n v="9600"/>
    <n v="1440"/>
  </r>
  <r>
    <x v="29"/>
    <d v="2026-01-03T00:00:00"/>
    <d v="2026-01-03T00:00:00"/>
    <d v="1899-12-30T13:00:00"/>
    <d v="1899-12-30T14:00:00"/>
    <x v="1"/>
    <s v="OP030"/>
    <s v="Para"/>
    <s v="PROD_C"/>
    <s v="Conjunto Gama"/>
    <x v="2"/>
    <s v="LINHA02"/>
    <n v="80"/>
    <n v="45"/>
    <n v="60"/>
    <n v="30"/>
    <x v="5"/>
    <n v="52"/>
    <n v="5"/>
    <n v="47"/>
    <s v="OP202"/>
    <s v="Mariana"/>
    <n v="120"/>
    <x v="13"/>
    <n v="30"/>
    <n v="0.5"/>
    <n v="1.3"/>
    <n v="9.6153846153846201E-2"/>
    <n v="6.25E-2"/>
    <x v="16"/>
    <n v="600"/>
    <n v="10440"/>
  </r>
  <r>
    <x v="30"/>
    <d v="2026-01-03T00:00:00"/>
    <d v="2026-01-03T00:00:00"/>
    <d v="1899-12-30T14:00:00"/>
    <d v="1899-12-30T15:00:00"/>
    <x v="1"/>
    <s v="OP031"/>
    <s v="Parana"/>
    <s v="PROD_A"/>
    <s v="Componente Alfa"/>
    <x v="0"/>
    <s v="LINHA01"/>
    <n v="100"/>
    <n v="36"/>
    <n v="60"/>
    <n v="9"/>
    <x v="0"/>
    <n v="84"/>
    <n v="81"/>
    <n v="3"/>
    <s v="OP203"/>
    <s v="Jorge"/>
    <n v="50"/>
    <x v="0"/>
    <n v="51"/>
    <n v="0.85"/>
    <n v="0.98823529411764699"/>
    <n v="0.96428571428571397"/>
    <n v="0.81"/>
    <x v="0"/>
    <n v="4050"/>
    <n v="900"/>
  </r>
  <r>
    <x v="31"/>
    <d v="2026-01-03T00:00:00"/>
    <d v="2026-01-03T00:00:00"/>
    <d v="1899-12-30T15:00:00"/>
    <d v="1899-12-30T16:00:00"/>
    <x v="1"/>
    <s v="OP032"/>
    <s v="Minas Gerais"/>
    <s v="PROD_A"/>
    <s v="Componente Alfa"/>
    <x v="0"/>
    <s v="LINHA01"/>
    <n v="100"/>
    <n v="36"/>
    <n v="60"/>
    <n v="3"/>
    <x v="6"/>
    <n v="91"/>
    <n v="91"/>
    <n v="0"/>
    <s v="OP301"/>
    <s v="Luis"/>
    <n v="50"/>
    <x v="4"/>
    <n v="57"/>
    <n v="0.95"/>
    <n v="0.95789473684210502"/>
    <n v="1"/>
    <n v="0.91"/>
    <x v="17"/>
    <n v="4550"/>
    <n v="250"/>
  </r>
  <r>
    <x v="32"/>
    <d v="2026-01-04T00:00:00"/>
    <d v="2026-01-04T00:00:00"/>
    <d v="1899-12-30T07:00:00"/>
    <d v="1899-12-30T08:00:00"/>
    <x v="0"/>
    <s v="OP033"/>
    <s v="Bahia"/>
    <s v="PROD_A"/>
    <s v="Componente Alfa"/>
    <x v="0"/>
    <s v="LINHA01"/>
    <n v="100"/>
    <n v="36"/>
    <n v="60"/>
    <n v="9"/>
    <x v="0"/>
    <n v="86"/>
    <n v="84"/>
    <n v="2"/>
    <s v="OP101"/>
    <s v="Paulo"/>
    <n v="50"/>
    <x v="14"/>
    <n v="51"/>
    <n v="0.85"/>
    <n v="1.01176470588235"/>
    <n v="0.97674418604651203"/>
    <n v="0.83999999999999797"/>
    <x v="0"/>
    <n v="4200"/>
    <n v="850"/>
  </r>
  <r>
    <x v="33"/>
    <d v="2026-01-04T00:00:00"/>
    <d v="2026-01-04T00:00:00"/>
    <d v="1899-12-30T08:00:00"/>
    <d v="1899-12-30T09:00:00"/>
    <x v="0"/>
    <s v="OP034"/>
    <s v="Goias"/>
    <s v="PROD_A"/>
    <s v="Componente Alfa"/>
    <x v="0"/>
    <s v="LINHA01"/>
    <n v="100"/>
    <n v="36"/>
    <n v="60"/>
    <n v="0"/>
    <x v="1"/>
    <n v="98"/>
    <n v="97"/>
    <n v="1"/>
    <s v="OP101"/>
    <s v="Paulo"/>
    <n v="50"/>
    <x v="1"/>
    <n v="60"/>
    <n v="1"/>
    <n v="0.98"/>
    <n v="0.98979591836734704"/>
    <n v="0.97"/>
    <x v="1"/>
    <n v="4850"/>
    <n v="50"/>
  </r>
  <r>
    <x v="34"/>
    <d v="2026-01-04T00:00:00"/>
    <d v="2026-01-04T00:00:00"/>
    <d v="1899-12-30T09:00:00"/>
    <d v="1899-12-30T10:00:00"/>
    <x v="0"/>
    <s v="OP035"/>
    <s v="Mato Grosso do Sul"/>
    <s v="PROD_A"/>
    <s v="Componente Alfa"/>
    <x v="0"/>
    <s v="LINHA01"/>
    <n v="100"/>
    <n v="36"/>
    <n v="60"/>
    <n v="10"/>
    <x v="2"/>
    <n v="70"/>
    <n v="64"/>
    <n v="6"/>
    <s v="OP102"/>
    <s v="Davi"/>
    <n v="50"/>
    <x v="15"/>
    <n v="50"/>
    <n v="0.83333333333333404"/>
    <n v="0.84"/>
    <n v="0.91428571428571404"/>
    <n v="0.64"/>
    <x v="18"/>
    <n v="3200"/>
    <n v="1133.3333"/>
  </r>
  <r>
    <x v="35"/>
    <d v="2026-01-04T00:00:00"/>
    <d v="2026-01-04T00:00:00"/>
    <d v="1899-12-30T10:00:00"/>
    <d v="1899-12-30T11:00:00"/>
    <x v="0"/>
    <s v="OP036"/>
    <s v="Rio de Janeiro"/>
    <s v="PROD_B"/>
    <s v="Peca Beta"/>
    <x v="1"/>
    <s v="LINHA01"/>
    <n v="120"/>
    <n v="30"/>
    <n v="60"/>
    <n v="2"/>
    <x v="3"/>
    <n v="102"/>
    <n v="99"/>
    <n v="3"/>
    <s v="OP103"/>
    <s v="Joao"/>
    <n v="80"/>
    <x v="10"/>
    <n v="58"/>
    <n v="0.96666666666666701"/>
    <n v="0.87931034482758597"/>
    <n v="0.97058823529411797"/>
    <n v="0.82499999999999996"/>
    <x v="3"/>
    <n v="7920"/>
    <n v="560"/>
  </r>
  <r>
    <x v="36"/>
    <d v="2026-01-04T00:00:00"/>
    <d v="2026-01-04T00:00:00"/>
    <d v="1899-12-30T11:00:00"/>
    <d v="1899-12-30T12:00:00"/>
    <x v="0"/>
    <s v="OP037"/>
    <s v="Rio de Janeiro"/>
    <s v="PROD_B"/>
    <s v="Peca Beta"/>
    <x v="1"/>
    <s v="LINHA01"/>
    <n v="120"/>
    <n v="30"/>
    <n v="60"/>
    <n v="0"/>
    <x v="1"/>
    <n v="123"/>
    <n v="123"/>
    <n v="0"/>
    <s v="OP103"/>
    <s v="Joao"/>
    <n v="80"/>
    <x v="4"/>
    <n v="60"/>
    <n v="1"/>
    <n v="1.0249999999999999"/>
    <n v="1"/>
    <n v="1.0249999999999999"/>
    <x v="1"/>
    <n v="9840"/>
    <n v="0"/>
  </r>
  <r>
    <x v="37"/>
    <d v="2026-01-04T00:00:00"/>
    <d v="2026-01-04T00:00:00"/>
    <d v="1899-12-30T12:00:00"/>
    <d v="1899-12-30T13:00:00"/>
    <x v="0"/>
    <s v="OP038"/>
    <s v="Rio de Janeiro"/>
    <s v="PROD_B"/>
    <s v="Peca Beta"/>
    <x v="1"/>
    <s v="LINHA01"/>
    <n v="120"/>
    <n v="30"/>
    <n v="60"/>
    <n v="3"/>
    <x v="4"/>
    <n v="93"/>
    <n v="86"/>
    <n v="7"/>
    <s v="OP104"/>
    <s v="Anna"/>
    <n v="80"/>
    <x v="5"/>
    <n v="57"/>
    <n v="0.95"/>
    <n v="0.81578947368420995"/>
    <n v="0.92473118279569899"/>
    <n v="0.71666666666666601"/>
    <x v="9"/>
    <n v="6880"/>
    <n v="1040"/>
  </r>
  <r>
    <x v="38"/>
    <d v="2026-01-04T00:00:00"/>
    <d v="2026-01-04T00:00:00"/>
    <d v="1899-12-30T13:00:00"/>
    <d v="1899-12-30T14:00:00"/>
    <x v="1"/>
    <s v="OP039"/>
    <s v="Piaui"/>
    <s v="PROD_C"/>
    <s v="Conjunto Gama"/>
    <x v="2"/>
    <s v="LINHA02"/>
    <n v="80"/>
    <n v="45"/>
    <n v="60"/>
    <n v="11"/>
    <x v="0"/>
    <n v="68"/>
    <n v="68"/>
    <n v="0"/>
    <s v="OP201"/>
    <s v="Lucia"/>
    <n v="120"/>
    <x v="4"/>
    <n v="49"/>
    <n v="0.81666666666666698"/>
    <n v="1.0408163265306101"/>
    <n v="1"/>
    <n v="0.84999999999999898"/>
    <x v="19"/>
    <n v="8160"/>
    <n v="1760"/>
  </r>
  <r>
    <x v="39"/>
    <d v="2026-01-04T00:00:00"/>
    <d v="2026-01-04T00:00:00"/>
    <d v="1899-12-30T14:00:00"/>
    <d v="1899-12-30T15:00:00"/>
    <x v="1"/>
    <s v="OP040"/>
    <s v="Rio de Janeiro"/>
    <s v="PROD_C"/>
    <s v="Conjunto Gama"/>
    <x v="2"/>
    <s v="LINHA02"/>
    <n v="80"/>
    <n v="45"/>
    <n v="60"/>
    <n v="0"/>
    <x v="1"/>
    <n v="87"/>
    <n v="78"/>
    <n v="9"/>
    <s v="OP201"/>
    <s v="Lucia"/>
    <n v="120"/>
    <x v="6"/>
    <n v="60"/>
    <n v="1"/>
    <n v="1.0874999999999999"/>
    <n v="0.89655172413793105"/>
    <n v="0.97499999999999998"/>
    <x v="1"/>
    <n v="9360"/>
    <n v="1080"/>
  </r>
  <r>
    <x v="40"/>
    <d v="2026-01-04T00:00:00"/>
    <d v="2026-01-04T00:00:00"/>
    <d v="1899-12-30T15:00:00"/>
    <d v="1899-12-30T16:00:00"/>
    <x v="1"/>
    <s v="OP041"/>
    <s v="Bahia"/>
    <s v="PROD_C"/>
    <s v="Conjunto Gama"/>
    <x v="2"/>
    <s v="LINHA02"/>
    <n v="80"/>
    <n v="45"/>
    <n v="60"/>
    <n v="37"/>
    <x v="5"/>
    <n v="54"/>
    <n v="35"/>
    <n v="19"/>
    <s v="OP202"/>
    <s v="Mariana"/>
    <n v="120"/>
    <x v="16"/>
    <n v="23"/>
    <n v="0.38333333333333303"/>
    <n v="1.76086956521739"/>
    <n v="0.64814814814814803"/>
    <n v="0.437499999999999"/>
    <x v="20"/>
    <n v="4200"/>
    <n v="8200"/>
  </r>
  <r>
    <x v="41"/>
    <d v="2026-01-04T00:00:00"/>
    <d v="2026-01-04T00:00:00"/>
    <d v="1899-12-30T16:00:00"/>
    <d v="1899-12-30T17:00:00"/>
    <x v="1"/>
    <s v="OP042"/>
    <s v="Rio de Janeiro"/>
    <s v="PROD_A"/>
    <s v="Componente Alfa"/>
    <x v="0"/>
    <s v="LINHA01"/>
    <n v="100"/>
    <n v="36"/>
    <n v="60"/>
    <n v="6"/>
    <x v="0"/>
    <n v="90"/>
    <n v="88"/>
    <n v="2"/>
    <s v="OP203"/>
    <s v="Jorge"/>
    <n v="50"/>
    <x v="14"/>
    <n v="54"/>
    <n v="0.9"/>
    <n v="1"/>
    <n v="0.97777777777777797"/>
    <n v="0.88"/>
    <x v="6"/>
    <n v="4400"/>
    <n v="600"/>
  </r>
  <r>
    <x v="42"/>
    <d v="2026-01-04T00:00:00"/>
    <d v="2026-01-04T00:00:00"/>
    <d v="1899-12-30T17:00:00"/>
    <d v="1899-12-30T18:00:00"/>
    <x v="1"/>
    <s v="OP043"/>
    <s v="Bahia"/>
    <s v="PROD_A"/>
    <s v="Componente Alfa"/>
    <x v="0"/>
    <s v="LINHA01"/>
    <n v="100"/>
    <n v="36"/>
    <n v="60"/>
    <n v="0"/>
    <x v="1"/>
    <n v="107"/>
    <n v="106"/>
    <n v="1"/>
    <s v="OP301"/>
    <s v="Luis"/>
    <n v="50"/>
    <x v="1"/>
    <n v="60"/>
    <n v="1"/>
    <n v="1.07"/>
    <n v="0.99065420560747597"/>
    <n v="1.06"/>
    <x v="1"/>
    <n v="5300"/>
    <n v="50"/>
  </r>
  <r>
    <x v="43"/>
    <d v="2026-01-04T00:00:00"/>
    <d v="2026-01-04T00:00:00"/>
    <d v="1899-12-30T17:00:00"/>
    <d v="1899-12-30T18:00:00"/>
    <x v="1"/>
    <s v="OP044"/>
    <s v="Parana"/>
    <s v="PROD_A"/>
    <s v="Componente Alfa"/>
    <x v="0"/>
    <s v="LINHA01"/>
    <n v="100"/>
    <n v="36"/>
    <n v="60"/>
    <n v="2"/>
    <x v="6"/>
    <n v="102"/>
    <n v="102"/>
    <n v="0"/>
    <s v="OP301"/>
    <s v="Luis"/>
    <n v="50"/>
    <x v="4"/>
    <n v="58"/>
    <n v="0.96666666666666701"/>
    <n v="1.0551724137931"/>
    <n v="1"/>
    <n v="1.02"/>
    <x v="21"/>
    <n v="5100"/>
    <n v="166.66669999999999"/>
  </r>
  <r>
    <x v="44"/>
    <d v="2026-01-05T00:00:00"/>
    <d v="2026-01-05T00:00:00"/>
    <d v="1899-12-30T07:00:00"/>
    <d v="1899-12-30T08:00:00"/>
    <x v="0"/>
    <s v="OP045"/>
    <s v="Rio de Janeiro"/>
    <s v="PROD_B"/>
    <s v="Peca Beta"/>
    <x v="1"/>
    <s v="LINHA01"/>
    <n v="120"/>
    <n v="30"/>
    <n v="60"/>
    <n v="0"/>
    <x v="1"/>
    <n v="124"/>
    <n v="116"/>
    <n v="8"/>
    <s v="OP101"/>
    <s v="Paulo"/>
    <n v="80"/>
    <x v="17"/>
    <n v="60"/>
    <n v="1"/>
    <n v="1.0333333333333301"/>
    <n v="0.93548387096774199"/>
    <n v="0.96666666666666401"/>
    <x v="1"/>
    <n v="9280"/>
    <n v="640"/>
  </r>
  <r>
    <x v="45"/>
    <d v="2026-01-05T00:00:00"/>
    <d v="2026-01-05T00:00:00"/>
    <d v="1899-12-30T08:00:00"/>
    <d v="1899-12-30T09:00:00"/>
    <x v="0"/>
    <s v="OP046"/>
    <s v="Piaui"/>
    <s v="PROD_B"/>
    <s v="Peca Beta"/>
    <x v="1"/>
    <s v="LINHA01"/>
    <n v="120"/>
    <n v="30"/>
    <n v="60"/>
    <n v="12"/>
    <x v="7"/>
    <n v="0"/>
    <n v="0"/>
    <n v="0"/>
    <s v="OP102"/>
    <s v="Davi"/>
    <n v="80"/>
    <x v="4"/>
    <n v="48"/>
    <n v="0.8"/>
    <n v="0"/>
    <n v="0"/>
    <n v="0"/>
    <x v="22"/>
    <n v="0"/>
    <n v="1920"/>
  </r>
  <r>
    <x v="46"/>
    <d v="2026-01-05T00:00:00"/>
    <d v="2026-01-05T00:00:00"/>
    <d v="1899-12-30T09:00:00"/>
    <d v="1899-12-30T10:00:00"/>
    <x v="0"/>
    <s v="OP047"/>
    <s v="Piaui"/>
    <s v="PROD_B"/>
    <s v="Peca Beta"/>
    <x v="1"/>
    <s v="LINHA01"/>
    <n v="120"/>
    <n v="30"/>
    <n v="60"/>
    <n v="2"/>
    <x v="8"/>
    <n v="99"/>
    <n v="95"/>
    <n v="4"/>
    <s v="OP102"/>
    <s v="Davi"/>
    <n v="80"/>
    <x v="8"/>
    <n v="58"/>
    <n v="0.96666666666666701"/>
    <n v="0.85344827586206895"/>
    <n v="0.95959595959596"/>
    <n v="0.79166666666666696"/>
    <x v="3"/>
    <n v="7600"/>
    <n v="640"/>
  </r>
  <r>
    <x v="47"/>
    <d v="2026-01-05T00:00:00"/>
    <d v="2026-01-05T00:00:00"/>
    <d v="1899-12-30T10:00:00"/>
    <d v="1899-12-30T11:00:00"/>
    <x v="0"/>
    <s v="OP048"/>
    <s v="Rio de Janeiro"/>
    <s v="PROD_C"/>
    <s v="Conjunto Gama"/>
    <x v="2"/>
    <s v="LINHA02"/>
    <n v="80"/>
    <n v="45"/>
    <n v="60"/>
    <n v="0"/>
    <x v="1"/>
    <n v="86"/>
    <n v="70"/>
    <n v="16"/>
    <s v="OP103"/>
    <s v="Joao"/>
    <n v="120"/>
    <x v="18"/>
    <n v="60"/>
    <n v="1"/>
    <n v="1.075"/>
    <n v="0.81395348837209303"/>
    <n v="0.875"/>
    <x v="1"/>
    <n v="8400"/>
    <n v="1920"/>
  </r>
  <r>
    <x v="48"/>
    <d v="2026-01-05T00:00:00"/>
    <d v="2026-01-05T00:00:00"/>
    <d v="1899-12-30T11:00:00"/>
    <d v="1899-12-30T12:00:00"/>
    <x v="0"/>
    <s v="OP049"/>
    <s v="Piaui"/>
    <s v="PROD_C"/>
    <s v="Conjunto Gama"/>
    <x v="2"/>
    <s v="LINHA02"/>
    <n v="80"/>
    <n v="45"/>
    <n v="60"/>
    <n v="17"/>
    <x v="9"/>
    <n v="67"/>
    <n v="67"/>
    <n v="0"/>
    <s v="OP104"/>
    <s v="Anna"/>
    <n v="120"/>
    <x v="4"/>
    <n v="43"/>
    <n v="0.71666666666666701"/>
    <n v="1.1686046511627901"/>
    <n v="1"/>
    <n v="0.83750000000000002"/>
    <x v="23"/>
    <n v="8040"/>
    <n v="2720"/>
  </r>
  <r>
    <x v="49"/>
    <d v="2026-01-05T00:00:00"/>
    <d v="2026-01-05T00:00:00"/>
    <d v="1899-12-30T12:00:00"/>
    <d v="1899-12-30T13:00:00"/>
    <x v="1"/>
    <s v="OP050"/>
    <s v="Parana"/>
    <s v="PROD_A"/>
    <s v="Componente Alfa"/>
    <x v="0"/>
    <s v="LINHA01"/>
    <n v="100"/>
    <n v="36"/>
    <n v="60"/>
    <n v="0"/>
    <x v="1"/>
    <n v="105"/>
    <n v="103"/>
    <n v="2"/>
    <s v="OP201"/>
    <s v="Lucia"/>
    <n v="50"/>
    <x v="14"/>
    <n v="60"/>
    <n v="1"/>
    <n v="1.05"/>
    <n v="0.98095238095238102"/>
    <n v="1.03"/>
    <x v="1"/>
    <n v="5150"/>
    <n v="100"/>
  </r>
  <r>
    <x v="50"/>
    <d v="2026-01-05T00:00:00"/>
    <d v="2026-01-05T00:00:00"/>
    <d v="1899-12-30T13:00:00"/>
    <d v="1899-12-30T14:00:00"/>
    <x v="1"/>
    <s v="OP051"/>
    <s v="Minas Gerais"/>
    <s v="PROD_A"/>
    <s v="Componente Alfa"/>
    <x v="0"/>
    <s v="LINHA01"/>
    <n v="100"/>
    <n v="36"/>
    <n v="60"/>
    <n v="5"/>
    <x v="10"/>
    <n v="87"/>
    <n v="87"/>
    <n v="0"/>
    <s v="OP202"/>
    <s v="Mariana"/>
    <n v="50"/>
    <x v="4"/>
    <n v="55"/>
    <n v="0.91666666666666596"/>
    <n v="0.94909090909090899"/>
    <n v="1"/>
    <n v="0.869999999999999"/>
    <x v="13"/>
    <n v="4350"/>
    <n v="416.66669999999999"/>
  </r>
  <r>
    <x v="51"/>
    <d v="2026-01-05T00:00:00"/>
    <d v="2026-01-05T00:00:00"/>
    <d v="1899-12-30T14:00:00"/>
    <d v="1899-12-30T15:00:00"/>
    <x v="1"/>
    <s v="OP052"/>
    <s v="Mato Grosso do Sul"/>
    <s v="PROD_B"/>
    <s v="Peca Beta"/>
    <x v="1"/>
    <s v="LINHA01"/>
    <n v="120"/>
    <n v="30"/>
    <n v="60"/>
    <n v="0"/>
    <x v="1"/>
    <n v="126"/>
    <n v="118"/>
    <n v="8"/>
    <s v="OP203"/>
    <s v="Jorge"/>
    <n v="80"/>
    <x v="17"/>
    <n v="60"/>
    <n v="1"/>
    <n v="1.05"/>
    <n v="0.93650793650793596"/>
    <n v="0.98333333333333295"/>
    <x v="1"/>
    <n v="9440"/>
    <n v="640"/>
  </r>
  <r>
    <x v="52"/>
    <d v="2026-01-05T00:00:00"/>
    <d v="2026-01-05T00:00:00"/>
    <d v="1899-12-30T15:00:00"/>
    <d v="1899-12-30T16:00:00"/>
    <x v="1"/>
    <s v="OP053"/>
    <s v="Mato Grosso do Sul"/>
    <s v="PROD_B"/>
    <s v="Peca Beta"/>
    <x v="1"/>
    <s v="LINHA01"/>
    <n v="120"/>
    <n v="30"/>
    <n v="60"/>
    <n v="14"/>
    <x v="11"/>
    <n v="75"/>
    <n v="60"/>
    <n v="15"/>
    <s v="OP201"/>
    <s v="Lucia"/>
    <n v="80"/>
    <x v="19"/>
    <n v="46"/>
    <n v="0.76666666666666705"/>
    <n v="0.815217391304348"/>
    <n v="0.8"/>
    <n v="0.5"/>
    <x v="11"/>
    <n v="4800"/>
    <n v="3440"/>
  </r>
  <r>
    <x v="53"/>
    <d v="2026-01-05T00:00:00"/>
    <d v="2026-01-05T00:00:00"/>
    <d v="1899-12-30T17:00:00"/>
    <d v="1899-12-30T18:00:00"/>
    <x v="2"/>
    <s v="OP054"/>
    <s v="Piaui"/>
    <s v="PROD_C"/>
    <s v="Conjunto Gama"/>
    <x v="2"/>
    <s v="LINHA02"/>
    <n v="80"/>
    <n v="45"/>
    <n v="60"/>
    <n v="0"/>
    <x v="1"/>
    <n v="79"/>
    <n v="79"/>
    <n v="0"/>
    <s v="OP302"/>
    <s v="Jose"/>
    <n v="120"/>
    <x v="4"/>
    <n v="60"/>
    <n v="1"/>
    <n v="0.98750000000000004"/>
    <n v="1"/>
    <n v="0.98750000000000004"/>
    <x v="1"/>
    <n v="9480"/>
    <n v="0"/>
  </r>
  <r>
    <x v="54"/>
    <d v="2026-01-05T00:00:00"/>
    <d v="2026-01-05T00:00:00"/>
    <d v="1899-12-30T18:00:00"/>
    <d v="1899-12-30T19:00:00"/>
    <x v="2"/>
    <s v="OP055"/>
    <s v="Parana"/>
    <s v="PROD_C"/>
    <s v="Conjunto Gama"/>
    <x v="2"/>
    <s v="LINHA02"/>
    <n v="80"/>
    <n v="45"/>
    <n v="60"/>
    <n v="31"/>
    <x v="12"/>
    <n v="56"/>
    <n v="38"/>
    <n v="18"/>
    <s v="OP302"/>
    <s v="Jose"/>
    <n v="120"/>
    <x v="20"/>
    <n v="29"/>
    <n v="0.483333333333333"/>
    <n v="1.44827586206897"/>
    <n v="0.67857142857142905"/>
    <n v="0.47500000000000098"/>
    <x v="24"/>
    <n v="4560"/>
    <n v="7120"/>
  </r>
  <r>
    <x v="55"/>
    <d v="2026-01-06T00:00:00"/>
    <d v="2026-01-06T00:00:00"/>
    <d v="1899-12-30T07:00:00"/>
    <d v="1899-12-30T08:00:00"/>
    <x v="0"/>
    <s v="OP056"/>
    <s v="Bahia"/>
    <s v="PROD_A"/>
    <s v="Componente Alfa"/>
    <x v="0"/>
    <s v="LINHA01"/>
    <n v="100"/>
    <n v="36"/>
    <n v="60"/>
    <n v="6"/>
    <x v="13"/>
    <n v="88"/>
    <n v="86"/>
    <n v="2"/>
    <s v="OP101"/>
    <s v="Paulo"/>
    <n v="50"/>
    <x v="14"/>
    <n v="54"/>
    <n v="0.9"/>
    <n v="0.97777777777777797"/>
    <n v="0.97727272727272696"/>
    <n v="0.86"/>
    <x v="6"/>
    <n v="4300"/>
    <n v="600"/>
  </r>
  <r>
    <x v="56"/>
    <d v="2026-01-06T00:00:00"/>
    <d v="2026-01-06T00:00:00"/>
    <d v="1899-12-30T08:00:00"/>
    <d v="1899-12-30T09:00:00"/>
    <x v="0"/>
    <s v="OP057"/>
    <s v="Para"/>
    <s v="PROD_A"/>
    <s v="Componente Alfa"/>
    <x v="0"/>
    <s v="LINHA01"/>
    <n v="100"/>
    <n v="36"/>
    <n v="60"/>
    <n v="0"/>
    <x v="1"/>
    <n v="105"/>
    <n v="105"/>
    <n v="0"/>
    <s v="OP101"/>
    <s v="Paulo"/>
    <n v="50"/>
    <x v="4"/>
    <n v="60"/>
    <n v="1"/>
    <n v="1.05"/>
    <n v="1"/>
    <n v="1.05"/>
    <x v="1"/>
    <n v="5250"/>
    <n v="0"/>
  </r>
  <r>
    <x v="57"/>
    <d v="2026-01-06T00:00:00"/>
    <d v="2026-01-06T00:00:00"/>
    <d v="1899-12-30T09:00:00"/>
    <d v="1899-12-30T10:00:00"/>
    <x v="0"/>
    <s v="OP058"/>
    <s v="Minas Gerais"/>
    <s v="PROD_A"/>
    <s v="Componente Alfa"/>
    <x v="0"/>
    <s v="LINHA01"/>
    <n v="100"/>
    <n v="36"/>
    <n v="60"/>
    <n v="6"/>
    <x v="0"/>
    <n v="97"/>
    <n v="95"/>
    <n v="2"/>
    <s v="OP101"/>
    <s v="Paulo"/>
    <n v="50"/>
    <x v="14"/>
    <n v="54"/>
    <n v="0.9"/>
    <n v="1.0777777777777799"/>
    <n v="0.97938144329896903"/>
    <n v="0.95000000000000195"/>
    <x v="6"/>
    <n v="4750"/>
    <n v="600"/>
  </r>
  <r>
    <x v="58"/>
    <d v="2026-01-06T00:00:00"/>
    <d v="2026-01-06T00:00:00"/>
    <d v="1899-12-30T10:00:00"/>
    <d v="1899-12-30T11:00:00"/>
    <x v="0"/>
    <s v="OP059"/>
    <s v="Minas Gerais"/>
    <s v="PROD_A"/>
    <s v="Componente Alfa"/>
    <x v="0"/>
    <s v="LINHA01"/>
    <n v="100"/>
    <n v="36"/>
    <n v="60"/>
    <n v="10"/>
    <x v="2"/>
    <n v="77"/>
    <n v="72"/>
    <n v="5"/>
    <s v="OP102"/>
    <s v="Davi"/>
    <n v="50"/>
    <x v="21"/>
    <n v="50"/>
    <n v="0.83333333333333404"/>
    <n v="0.92400000000000004"/>
    <n v="0.93506493506493504"/>
    <n v="0.72000000000000097"/>
    <x v="18"/>
    <n v="3600"/>
    <n v="1083.3333"/>
  </r>
  <r>
    <x v="59"/>
    <d v="2026-01-06T00:00:00"/>
    <d v="2026-01-06T00:00:00"/>
    <d v="1899-12-30T11:00:00"/>
    <d v="1899-12-30T12:00:00"/>
    <x v="0"/>
    <s v="OP060"/>
    <s v="Sao Paulo"/>
    <s v="PROD_B"/>
    <s v="Peca Beta"/>
    <x v="1"/>
    <s v="LINHA01"/>
    <n v="120"/>
    <n v="30"/>
    <n v="60"/>
    <n v="2"/>
    <x v="3"/>
    <n v="119"/>
    <n v="112"/>
    <n v="7"/>
    <s v="OP103"/>
    <s v="Joao"/>
    <n v="80"/>
    <x v="5"/>
    <n v="58"/>
    <n v="0.96666666666666701"/>
    <n v="1.02586206896552"/>
    <n v="0.94117647058823495"/>
    <n v="0.93333333333333601"/>
    <x v="3"/>
    <n v="8960"/>
    <n v="880"/>
  </r>
  <r>
    <x v="60"/>
    <d v="2026-01-06T00:00:00"/>
    <d v="2026-01-06T00:00:00"/>
    <d v="1899-12-30T12:00:00"/>
    <d v="1899-12-30T13:00:00"/>
    <x v="1"/>
    <s v="OP061"/>
    <s v="Goias"/>
    <s v="PROD_C"/>
    <s v="Conjunto Gama"/>
    <x v="2"/>
    <s v="LINHA02"/>
    <n v="80"/>
    <n v="45"/>
    <n v="60"/>
    <n v="6"/>
    <x v="0"/>
    <n v="77"/>
    <n v="77"/>
    <n v="0"/>
    <s v="OP201"/>
    <s v="Lucia"/>
    <n v="120"/>
    <x v="4"/>
    <n v="54"/>
    <n v="0.9"/>
    <n v="1.06944444444444"/>
    <n v="1"/>
    <n v="0.96249999999999603"/>
    <x v="8"/>
    <n v="9240"/>
    <n v="960"/>
  </r>
  <r>
    <x v="61"/>
    <d v="2026-01-06T00:00:00"/>
    <d v="2026-01-06T00:00:00"/>
    <d v="1899-12-30T13:00:00"/>
    <d v="1899-12-30T14:00:00"/>
    <x v="1"/>
    <s v="OP062"/>
    <s v="Piaui"/>
    <s v="PROD_C"/>
    <s v="Conjunto Gama"/>
    <x v="2"/>
    <s v="LINHA02"/>
    <n v="80"/>
    <n v="45"/>
    <n v="60"/>
    <n v="37"/>
    <x v="5"/>
    <n v="51"/>
    <n v="13"/>
    <n v="38"/>
    <s v="OP202"/>
    <s v="Mariana"/>
    <n v="120"/>
    <x v="22"/>
    <n v="23"/>
    <n v="0.38333333333333303"/>
    <n v="1.6630434782608701"/>
    <n v="0.25490196078431399"/>
    <n v="0.16250000000000001"/>
    <x v="20"/>
    <n v="1560"/>
    <n v="10480"/>
  </r>
  <r>
    <x v="62"/>
    <d v="2026-01-06T00:00:00"/>
    <d v="2026-01-06T00:00:00"/>
    <d v="1899-12-30T14:00:00"/>
    <d v="1899-12-30T15:00:00"/>
    <x v="1"/>
    <s v="OP063"/>
    <s v="Sao Paulo"/>
    <s v="PROD_A"/>
    <s v="Componente Alfa"/>
    <x v="0"/>
    <s v="LINHA01"/>
    <n v="100"/>
    <n v="36"/>
    <n v="60"/>
    <n v="9"/>
    <x v="0"/>
    <n v="97"/>
    <n v="95"/>
    <n v="2"/>
    <s v="OP203"/>
    <s v="Jorge"/>
    <n v="50"/>
    <x v="14"/>
    <n v="51"/>
    <n v="0.85"/>
    <n v="1.1411764705882399"/>
    <n v="0.97938144329896903"/>
    <n v="0.95000000000000395"/>
    <x v="0"/>
    <n v="4750"/>
    <n v="850"/>
  </r>
  <r>
    <x v="63"/>
    <d v="2026-01-06T00:00:00"/>
    <d v="2026-01-06T00:00:00"/>
    <d v="1899-12-30T15:00:00"/>
    <d v="1899-12-30T16:00:00"/>
    <x v="1"/>
    <s v="OP064"/>
    <s v="Goias"/>
    <s v="PROD_A"/>
    <s v="Componente Alfa"/>
    <x v="0"/>
    <s v="LINHA01"/>
    <n v="100"/>
    <n v="36"/>
    <n v="60"/>
    <n v="2"/>
    <x v="6"/>
    <n v="105"/>
    <n v="105"/>
    <n v="0"/>
    <s v="OP301"/>
    <s v="Luis"/>
    <n v="50"/>
    <x v="4"/>
    <n v="58"/>
    <n v="0.96666666666666701"/>
    <n v="1.08620689655172"/>
    <n v="1"/>
    <n v="1.05"/>
    <x v="21"/>
    <n v="5250"/>
    <n v="166.66669999999999"/>
  </r>
  <r>
    <x v="64"/>
    <d v="2026-01-07T00:00:00"/>
    <d v="2026-01-07T00:00:00"/>
    <d v="1899-12-30T07:00:00"/>
    <d v="1899-12-30T08:00:00"/>
    <x v="0"/>
    <s v="OP065"/>
    <s v="Minas Gerais"/>
    <s v="PROD_A"/>
    <s v="Componente Alfa"/>
    <x v="0"/>
    <s v="LINHA01"/>
    <n v="100"/>
    <n v="36"/>
    <n v="60"/>
    <n v="8"/>
    <x v="0"/>
    <n v="98"/>
    <n v="96"/>
    <n v="2"/>
    <s v="OP101"/>
    <s v="Paulo"/>
    <n v="50"/>
    <x v="14"/>
    <n v="52"/>
    <n v="0.86666666666666703"/>
    <n v="1.1307692307692301"/>
    <n v="0.97959183673469397"/>
    <n v="0.96"/>
    <x v="25"/>
    <n v="4800"/>
    <n v="766.66669999999999"/>
  </r>
  <r>
    <x v="65"/>
    <d v="2026-01-07T00:00:00"/>
    <d v="2026-01-07T00:00:00"/>
    <d v="1899-12-30T08:00:00"/>
    <d v="1899-12-30T09:00:00"/>
    <x v="0"/>
    <s v="OP066"/>
    <s v="Bahia"/>
    <s v="PROD_A"/>
    <s v="Componente Alfa"/>
    <x v="0"/>
    <s v="LINHA01"/>
    <n v="100"/>
    <n v="36"/>
    <n v="60"/>
    <n v="0"/>
    <x v="1"/>
    <n v="93"/>
    <n v="92"/>
    <n v="1"/>
    <s v="OP101"/>
    <s v="Paulo"/>
    <n v="50"/>
    <x v="1"/>
    <n v="60"/>
    <n v="1"/>
    <n v="0.93"/>
    <n v="0.989247311827957"/>
    <n v="0.92"/>
    <x v="1"/>
    <n v="4600"/>
    <n v="50"/>
  </r>
  <r>
    <x v="66"/>
    <d v="2026-01-07T00:00:00"/>
    <d v="2026-01-07T00:00:00"/>
    <d v="1899-12-30T09:00:00"/>
    <d v="1899-12-30T10:00:00"/>
    <x v="0"/>
    <s v="OP067"/>
    <s v="Sao Paulo"/>
    <s v="PROD_A"/>
    <s v="Componente Alfa"/>
    <x v="0"/>
    <s v="LINHA01"/>
    <n v="100"/>
    <n v="36"/>
    <n v="60"/>
    <n v="18"/>
    <x v="2"/>
    <n v="70"/>
    <n v="64"/>
    <n v="6"/>
    <s v="OP102"/>
    <s v="Davi"/>
    <n v="50"/>
    <x v="15"/>
    <n v="42"/>
    <n v="0.7"/>
    <n v="1"/>
    <n v="0.91428571428571404"/>
    <n v="0.64"/>
    <x v="26"/>
    <n v="3200"/>
    <n v="1800"/>
  </r>
  <r>
    <x v="67"/>
    <d v="2026-01-07T00:00:00"/>
    <d v="2026-01-07T00:00:00"/>
    <d v="1899-12-30T10:00:00"/>
    <d v="1899-12-30T11:00:00"/>
    <x v="0"/>
    <s v="OP068"/>
    <s v="Para"/>
    <s v="PROD_B"/>
    <s v="Peca Beta"/>
    <x v="1"/>
    <s v="LINHA01"/>
    <n v="120"/>
    <n v="30"/>
    <n v="60"/>
    <n v="2"/>
    <x v="3"/>
    <n v="113"/>
    <n v="106"/>
    <n v="7"/>
    <s v="OP103"/>
    <s v="Joao"/>
    <n v="80"/>
    <x v="5"/>
    <n v="58"/>
    <n v="0.96666666666666701"/>
    <n v="0.97413793103448298"/>
    <n v="0.93805309734513298"/>
    <n v="0.88333333333333397"/>
    <x v="3"/>
    <n v="8480"/>
    <n v="880"/>
  </r>
  <r>
    <x v="68"/>
    <d v="2026-01-07T00:00:00"/>
    <d v="2026-01-07T00:00:00"/>
    <d v="1899-12-30T11:00:00"/>
    <d v="1899-12-30T12:00:00"/>
    <x v="0"/>
    <s v="OP069"/>
    <s v="Rio de Janeiro"/>
    <s v="PROD_B"/>
    <s v="Peca Beta"/>
    <x v="1"/>
    <s v="LINHA01"/>
    <n v="120"/>
    <n v="30"/>
    <n v="60"/>
    <n v="0"/>
    <x v="1"/>
    <n v="127"/>
    <n v="127"/>
    <n v="0"/>
    <s v="OP103"/>
    <s v="Joao"/>
    <n v="80"/>
    <x v="4"/>
    <n v="60"/>
    <n v="1"/>
    <n v="1.05833333333333"/>
    <n v="1"/>
    <n v="1.05833333333333"/>
    <x v="1"/>
    <n v="10160"/>
    <n v="0"/>
  </r>
  <r>
    <x v="69"/>
    <d v="2026-01-07T00:00:00"/>
    <d v="2026-01-07T00:00:00"/>
    <d v="1899-12-30T12:00:00"/>
    <d v="1899-12-30T13:00:00"/>
    <x v="0"/>
    <s v="OP070"/>
    <s v="Parana"/>
    <s v="PROD_B"/>
    <s v="Peca Beta"/>
    <x v="1"/>
    <s v="LINHA01"/>
    <n v="120"/>
    <n v="30"/>
    <n v="60"/>
    <n v="6"/>
    <x v="4"/>
    <n v="97"/>
    <n v="94"/>
    <n v="3"/>
    <s v="OP104"/>
    <s v="Anna"/>
    <n v="80"/>
    <x v="10"/>
    <n v="54"/>
    <n v="0.9"/>
    <n v="0.89814814814814803"/>
    <n v="0.96907216494845405"/>
    <n v="0.78333333333333399"/>
    <x v="8"/>
    <n v="7520"/>
    <n v="1200"/>
  </r>
  <r>
    <x v="70"/>
    <d v="2026-01-07T00:00:00"/>
    <d v="2026-01-07T00:00:00"/>
    <d v="1899-12-30T13:00:00"/>
    <d v="1899-12-30T14:00:00"/>
    <x v="1"/>
    <s v="OP071"/>
    <s v="Piaui"/>
    <s v="PROD_C"/>
    <s v="Conjunto Gama"/>
    <x v="2"/>
    <s v="LINHA02"/>
    <n v="80"/>
    <n v="45"/>
    <n v="60"/>
    <n v="8"/>
    <x v="0"/>
    <n v="71"/>
    <n v="71"/>
    <n v="0"/>
    <s v="OP201"/>
    <s v="Lucia"/>
    <n v="120"/>
    <x v="4"/>
    <n v="52"/>
    <n v="0.86666666666666703"/>
    <n v="1.0240384615384599"/>
    <n v="1"/>
    <n v="0.88749999999999896"/>
    <x v="4"/>
    <n v="8520"/>
    <n v="1280"/>
  </r>
  <r>
    <x v="71"/>
    <d v="2026-01-07T00:00:00"/>
    <d v="2026-01-07T00:00:00"/>
    <d v="1899-12-30T14:00:00"/>
    <d v="1899-12-30T15:00:00"/>
    <x v="1"/>
    <s v="OP072"/>
    <s v="Bahia"/>
    <s v="PROD_C"/>
    <s v="Conjunto Gama"/>
    <x v="2"/>
    <s v="LINHA02"/>
    <n v="80"/>
    <n v="45"/>
    <n v="60"/>
    <n v="0"/>
    <x v="1"/>
    <n v="81"/>
    <n v="74"/>
    <n v="7"/>
    <s v="OP201"/>
    <s v="Lucia"/>
    <n v="120"/>
    <x v="12"/>
    <n v="60"/>
    <n v="1"/>
    <n v="1.0125"/>
    <n v="0.91358024691357997"/>
    <n v="0.92500000000000004"/>
    <x v="1"/>
    <n v="8880"/>
    <n v="840"/>
  </r>
  <r>
    <x v="72"/>
    <d v="2026-01-07T00:00:00"/>
    <d v="2026-01-07T00:00:00"/>
    <d v="1899-12-30T15:00:00"/>
    <d v="1899-12-30T16:00:00"/>
    <x v="1"/>
    <s v="OP073"/>
    <s v="Piaui"/>
    <s v="PROD_C"/>
    <s v="Conjunto Gama"/>
    <x v="2"/>
    <s v="LINHA02"/>
    <n v="80"/>
    <n v="45"/>
    <n v="60"/>
    <n v="37"/>
    <x v="5"/>
    <n v="53"/>
    <n v="0"/>
    <n v="53"/>
    <s v="OP202"/>
    <s v="Mariana"/>
    <n v="120"/>
    <x v="23"/>
    <n v="23"/>
    <n v="0.38333333333333303"/>
    <n v="1.72826086956522"/>
    <n v="0"/>
    <n v="0"/>
    <x v="20"/>
    <n v="0"/>
    <n v="12280"/>
  </r>
  <r>
    <x v="73"/>
    <d v="2026-01-07T00:00:00"/>
    <d v="2026-01-07T00:00:00"/>
    <d v="1899-12-30T16:00:00"/>
    <d v="1899-12-30T17:00:00"/>
    <x v="1"/>
    <s v="OP074"/>
    <s v="Parana"/>
    <s v="PROD_A"/>
    <s v="Componente Alfa"/>
    <x v="0"/>
    <s v="LINHA01"/>
    <n v="100"/>
    <n v="36"/>
    <n v="60"/>
    <n v="7"/>
    <x v="0"/>
    <n v="93"/>
    <n v="91"/>
    <n v="2"/>
    <s v="OP203"/>
    <s v="Jorge"/>
    <n v="50"/>
    <x v="14"/>
    <n v="53"/>
    <n v="0.88333333333333297"/>
    <n v="1.0528301886792499"/>
    <n v="0.978494623655914"/>
    <n v="0.91000000000000403"/>
    <x v="27"/>
    <n v="4550"/>
    <n v="683.33330000000001"/>
  </r>
  <r>
    <x v="74"/>
    <d v="2026-01-07T00:00:00"/>
    <d v="2026-01-07T00:00:00"/>
    <d v="1899-12-30T17:00:00"/>
    <d v="1899-12-30T18:00:00"/>
    <x v="1"/>
    <s v="OP075"/>
    <s v="Para"/>
    <s v="PROD_A"/>
    <s v="Componente Alfa"/>
    <x v="0"/>
    <s v="LINHA01"/>
    <n v="100"/>
    <n v="36"/>
    <n v="60"/>
    <n v="0"/>
    <x v="1"/>
    <n v="106"/>
    <n v="105"/>
    <n v="1"/>
    <s v="OP301"/>
    <s v="Luis"/>
    <n v="50"/>
    <x v="1"/>
    <n v="60"/>
    <n v="1"/>
    <n v="1.06"/>
    <n v="0.99056603773584895"/>
    <n v="1.05"/>
    <x v="1"/>
    <n v="5250"/>
    <n v="50"/>
  </r>
  <r>
    <x v="75"/>
    <d v="2026-01-07T00:00:00"/>
    <d v="2026-01-07T00:00:00"/>
    <d v="1899-12-30T17:00:00"/>
    <d v="1899-12-30T18:00:00"/>
    <x v="1"/>
    <s v="OP076"/>
    <s v="Sao Paulo"/>
    <s v="PROD_A"/>
    <s v="Componente Alfa"/>
    <x v="0"/>
    <s v="LINHA01"/>
    <n v="100"/>
    <n v="36"/>
    <n v="60"/>
    <n v="2"/>
    <x v="6"/>
    <n v="87"/>
    <n v="87"/>
    <n v="0"/>
    <s v="OP301"/>
    <s v="Luis"/>
    <n v="50"/>
    <x v="4"/>
    <n v="58"/>
    <n v="0.96666666666666701"/>
    <n v="0.9"/>
    <n v="1"/>
    <n v="0.87"/>
    <x v="21"/>
    <n v="4350"/>
    <n v="166.66669999999999"/>
  </r>
  <r>
    <x v="76"/>
    <d v="2026-01-08T00:00:00"/>
    <d v="2026-01-08T00:00:00"/>
    <d v="1899-12-30T07:00:00"/>
    <d v="1899-12-30T08:00:00"/>
    <x v="0"/>
    <s v="OP077"/>
    <s v="Minas Gerais"/>
    <s v="PROD_B"/>
    <s v="Peca Beta"/>
    <x v="1"/>
    <s v="LINHA01"/>
    <n v="120"/>
    <n v="30"/>
    <n v="60"/>
    <n v="0"/>
    <x v="1"/>
    <n v="115"/>
    <n v="109"/>
    <n v="6"/>
    <s v="OP101"/>
    <s v="Paulo"/>
    <n v="80"/>
    <x v="24"/>
    <n v="60"/>
    <n v="1"/>
    <n v="0.95833333333333404"/>
    <n v="0.94782608695652204"/>
    <n v="0.90833333333333399"/>
    <x v="1"/>
    <n v="8720"/>
    <n v="480"/>
  </r>
  <r>
    <x v="77"/>
    <d v="2026-01-08T00:00:00"/>
    <d v="2026-01-08T00:00:00"/>
    <d v="1899-12-30T08:00:00"/>
    <d v="1899-12-30T09:00:00"/>
    <x v="0"/>
    <s v="OP078"/>
    <s v="Sao Paulo"/>
    <s v="PROD_B"/>
    <s v="Peca Beta"/>
    <x v="1"/>
    <s v="LINHA01"/>
    <n v="120"/>
    <n v="30"/>
    <n v="60"/>
    <n v="6"/>
    <x v="7"/>
    <n v="0"/>
    <n v="0"/>
    <n v="0"/>
    <s v="OP102"/>
    <s v="Davi"/>
    <n v="80"/>
    <x v="4"/>
    <n v="54"/>
    <n v="0.9"/>
    <n v="0"/>
    <n v="0"/>
    <n v="0"/>
    <x v="8"/>
    <n v="0"/>
    <n v="960"/>
  </r>
  <r>
    <x v="78"/>
    <d v="2026-01-08T00:00:00"/>
    <d v="2026-01-08T00:00:00"/>
    <d v="1899-12-30T09:00:00"/>
    <d v="1899-12-30T10:00:00"/>
    <x v="0"/>
    <s v="OP079"/>
    <s v="Parana"/>
    <s v="PROD_B"/>
    <s v="Peca Beta"/>
    <x v="1"/>
    <s v="LINHA01"/>
    <n v="120"/>
    <n v="30"/>
    <n v="60"/>
    <n v="2"/>
    <x v="8"/>
    <n v="121"/>
    <n v="119"/>
    <n v="2"/>
    <s v="OP102"/>
    <s v="Davi"/>
    <n v="80"/>
    <x v="9"/>
    <n v="58"/>
    <n v="0.96666666666666701"/>
    <n v="1.0431034482758601"/>
    <n v="0.98347107438016501"/>
    <n v="0.99166666666666503"/>
    <x v="3"/>
    <n v="9520"/>
    <n v="480"/>
  </r>
  <r>
    <x v="79"/>
    <d v="2026-01-08T00:00:00"/>
    <d v="2026-01-08T00:00:00"/>
    <d v="1899-12-30T10:00:00"/>
    <d v="1899-12-30T11:00:00"/>
    <x v="0"/>
    <s v="OP080"/>
    <s v="Piaui"/>
    <s v="PROD_C"/>
    <s v="Conjunto Gama"/>
    <x v="2"/>
    <s v="LINHA02"/>
    <n v="80"/>
    <n v="45"/>
    <n v="60"/>
    <n v="0"/>
    <x v="1"/>
    <n v="73"/>
    <n v="70"/>
    <n v="3"/>
    <s v="OP103"/>
    <s v="Joao"/>
    <n v="120"/>
    <x v="25"/>
    <n v="60"/>
    <n v="1"/>
    <n v="0.91249999999999998"/>
    <n v="0.95890410958904104"/>
    <n v="0.875"/>
    <x v="1"/>
    <n v="8400"/>
    <n v="360"/>
  </r>
  <r>
    <x v="80"/>
    <d v="2026-01-08T00:00:00"/>
    <d v="2026-01-08T00:00:00"/>
    <d v="1899-12-30T11:00:00"/>
    <d v="1899-12-30T12:00:00"/>
    <x v="0"/>
    <s v="OP081"/>
    <s v="Para"/>
    <s v="PROD_C"/>
    <s v="Conjunto Gama"/>
    <x v="2"/>
    <s v="LINHA02"/>
    <n v="80"/>
    <n v="45"/>
    <n v="60"/>
    <n v="19"/>
    <x v="9"/>
    <n v="69"/>
    <n v="69"/>
    <n v="0"/>
    <s v="OP104"/>
    <s v="Anna"/>
    <n v="120"/>
    <x v="4"/>
    <n v="41"/>
    <n v="0.68333333333333302"/>
    <n v="1.26219512195122"/>
    <n v="1"/>
    <n v="0.86250000000000004"/>
    <x v="28"/>
    <n v="8280"/>
    <n v="3040"/>
  </r>
  <r>
    <x v="81"/>
    <d v="2026-01-08T00:00:00"/>
    <d v="2026-01-08T00:00:00"/>
    <d v="1899-12-30T12:00:00"/>
    <d v="1899-12-30T13:00:00"/>
    <x v="1"/>
    <s v="OP082"/>
    <s v="Parana"/>
    <s v="PROD_A"/>
    <s v="Componente Alfa"/>
    <x v="0"/>
    <s v="LINHA01"/>
    <n v="100"/>
    <n v="36"/>
    <n v="60"/>
    <n v="0"/>
    <x v="1"/>
    <n v="90"/>
    <n v="87"/>
    <n v="3"/>
    <s v="OP201"/>
    <s v="Lucia"/>
    <n v="50"/>
    <x v="0"/>
    <n v="60"/>
    <n v="1"/>
    <n v="0.9"/>
    <n v="0.96666666666666701"/>
    <n v="0.87"/>
    <x v="1"/>
    <n v="4350"/>
    <n v="150"/>
  </r>
  <r>
    <x v="82"/>
    <d v="2026-01-08T00:00:00"/>
    <d v="2026-01-08T00:00:00"/>
    <d v="1899-12-30T13:00:00"/>
    <d v="1899-12-30T14:00:00"/>
    <x v="1"/>
    <s v="OP083"/>
    <s v="Parana"/>
    <s v="PROD_A"/>
    <s v="Componente Alfa"/>
    <x v="0"/>
    <s v="LINHA01"/>
    <n v="100"/>
    <n v="36"/>
    <n v="60"/>
    <n v="8"/>
    <x v="10"/>
    <n v="96"/>
    <n v="96"/>
    <n v="0"/>
    <s v="OP202"/>
    <s v="Mariana"/>
    <n v="50"/>
    <x v="4"/>
    <n v="52"/>
    <n v="0.86666666666666703"/>
    <n v="1.10769230769231"/>
    <n v="1"/>
    <n v="0.96000000000000196"/>
    <x v="25"/>
    <n v="4800"/>
    <n v="666.66669999999999"/>
  </r>
  <r>
    <x v="83"/>
    <d v="2026-01-08T00:00:00"/>
    <d v="2026-01-08T00:00:00"/>
    <d v="1899-12-30T14:00:00"/>
    <d v="1899-12-30T15:00:00"/>
    <x v="1"/>
    <s v="OP084"/>
    <s v="Minas Gerais"/>
    <s v="PROD_B"/>
    <s v="Peca Beta"/>
    <x v="1"/>
    <s v="LINHA01"/>
    <n v="120"/>
    <n v="30"/>
    <n v="60"/>
    <n v="0"/>
    <x v="1"/>
    <n v="131"/>
    <n v="127"/>
    <n v="4"/>
    <s v="OP203"/>
    <s v="Jorge"/>
    <n v="80"/>
    <x v="8"/>
    <n v="60"/>
    <n v="1"/>
    <n v="1.0916666666666699"/>
    <n v="0.969465648854962"/>
    <n v="1.05833333333334"/>
    <x v="1"/>
    <n v="10160"/>
    <n v="320"/>
  </r>
  <r>
    <x v="84"/>
    <d v="2026-01-08T00:00:00"/>
    <d v="2026-01-08T00:00:00"/>
    <d v="1899-12-30T15:00:00"/>
    <d v="1899-12-30T16:00:00"/>
    <x v="1"/>
    <s v="OP085"/>
    <s v="Minas Gerais"/>
    <s v="PROD_B"/>
    <s v="Peca Beta"/>
    <x v="1"/>
    <s v="LINHA01"/>
    <n v="120"/>
    <n v="30"/>
    <n v="60"/>
    <n v="12"/>
    <x v="11"/>
    <n v="86"/>
    <n v="79"/>
    <n v="7"/>
    <s v="OP201"/>
    <s v="Lucia"/>
    <n v="80"/>
    <x v="5"/>
    <n v="48"/>
    <n v="0.8"/>
    <n v="0.89583333333333404"/>
    <n v="0.918604651162791"/>
    <n v="0.65833333333333399"/>
    <x v="22"/>
    <n v="6320"/>
    <n v="2480"/>
  </r>
  <r>
    <x v="85"/>
    <d v="2026-01-08T00:00:00"/>
    <d v="2026-01-08T00:00:00"/>
    <d v="1899-12-30T17:00:00"/>
    <d v="1899-12-30T18:00:00"/>
    <x v="2"/>
    <s v="OP086"/>
    <s v="Minas Gerais"/>
    <s v="PROD_C"/>
    <s v="Conjunto Gama"/>
    <x v="2"/>
    <s v="LINHA02"/>
    <n v="80"/>
    <n v="45"/>
    <n v="60"/>
    <n v="0"/>
    <x v="1"/>
    <n v="73"/>
    <n v="73"/>
    <n v="0"/>
    <s v="OP302"/>
    <s v="Jose"/>
    <n v="120"/>
    <x v="4"/>
    <n v="60"/>
    <n v="1"/>
    <n v="0.91249999999999998"/>
    <n v="1"/>
    <n v="0.91249999999999998"/>
    <x v="1"/>
    <n v="8760"/>
    <n v="0"/>
  </r>
  <r>
    <x v="86"/>
    <d v="2026-01-08T00:00:00"/>
    <d v="2026-01-08T00:00:00"/>
    <d v="1899-12-30T18:00:00"/>
    <d v="1899-12-30T19:00:00"/>
    <x v="2"/>
    <s v="OP087"/>
    <s v="Parana"/>
    <s v="PROD_C"/>
    <s v="Conjunto Gama"/>
    <x v="2"/>
    <s v="LINHA02"/>
    <n v="80"/>
    <n v="45"/>
    <n v="60"/>
    <n v="29"/>
    <x v="12"/>
    <n v="60"/>
    <n v="39"/>
    <n v="21"/>
    <s v="OP302"/>
    <s v="Jose"/>
    <n v="120"/>
    <x v="26"/>
    <n v="31"/>
    <n v="0.51666666666666705"/>
    <n v="1.45161290322581"/>
    <n v="0.65"/>
    <n v="0.48750000000000199"/>
    <x v="29"/>
    <n v="4680"/>
    <n v="7160"/>
  </r>
  <r>
    <x v="87"/>
    <d v="2026-01-09T00:00:00"/>
    <d v="2026-01-09T00:00:00"/>
    <d v="1899-12-30T07:00:00"/>
    <d v="1899-12-30T08:00:00"/>
    <x v="0"/>
    <s v="OP088"/>
    <s v="Mato Grosso do Sul"/>
    <s v="PROD_A"/>
    <s v="Componente Alfa"/>
    <x v="0"/>
    <s v="LINHA01"/>
    <n v="100"/>
    <n v="36"/>
    <n v="60"/>
    <n v="6"/>
    <x v="13"/>
    <n v="91"/>
    <n v="89"/>
    <n v="2"/>
    <s v="OP101"/>
    <s v="Paulo"/>
    <n v="50"/>
    <x v="14"/>
    <n v="54"/>
    <n v="0.9"/>
    <n v="1.01111111111111"/>
    <n v="0.97802197802197799"/>
    <n v="0.88999999999999901"/>
    <x v="6"/>
    <n v="4450"/>
    <n v="600"/>
  </r>
  <r>
    <x v="88"/>
    <d v="2026-01-09T00:00:00"/>
    <d v="2026-01-09T00:00:00"/>
    <d v="1899-12-30T08:00:00"/>
    <d v="1899-12-30T09:00:00"/>
    <x v="0"/>
    <s v="OP089"/>
    <s v="Bahia"/>
    <s v="PROD_A"/>
    <s v="Componente Alfa"/>
    <x v="0"/>
    <s v="LINHA01"/>
    <n v="100"/>
    <n v="36"/>
    <n v="60"/>
    <n v="0"/>
    <x v="1"/>
    <n v="101"/>
    <n v="101"/>
    <n v="0"/>
    <s v="OP101"/>
    <s v="Paulo"/>
    <n v="50"/>
    <x v="4"/>
    <n v="60"/>
    <n v="1"/>
    <n v="1.01"/>
    <n v="1"/>
    <n v="1.01"/>
    <x v="1"/>
    <n v="5050"/>
    <n v="0"/>
  </r>
  <r>
    <x v="89"/>
    <d v="2026-01-09T00:00:00"/>
    <d v="2026-01-09T00:00:00"/>
    <d v="1899-12-30T09:00:00"/>
    <d v="1899-12-30T10:00:00"/>
    <x v="0"/>
    <s v="OP090"/>
    <s v="Rio de Janeiro"/>
    <s v="PROD_A"/>
    <s v="Componente Alfa"/>
    <x v="0"/>
    <s v="LINHA01"/>
    <n v="100"/>
    <n v="36"/>
    <n v="60"/>
    <n v="9"/>
    <x v="0"/>
    <n v="86"/>
    <n v="84"/>
    <n v="2"/>
    <s v="OP101"/>
    <s v="Paulo"/>
    <n v="50"/>
    <x v="14"/>
    <n v="51"/>
    <n v="0.85"/>
    <n v="1.01176470588235"/>
    <n v="0.97674418604651203"/>
    <n v="0.83999999999999797"/>
    <x v="0"/>
    <n v="4200"/>
    <n v="850"/>
  </r>
  <r>
    <x v="90"/>
    <d v="2026-01-09T00:00:00"/>
    <d v="2026-01-09T00:00:00"/>
    <d v="1899-12-30T10:00:00"/>
    <d v="1899-12-30T11:00:00"/>
    <x v="0"/>
    <s v="OP091"/>
    <s v="Sao Paulo"/>
    <s v="PROD_A"/>
    <s v="Componente Alfa"/>
    <x v="0"/>
    <s v="LINHA01"/>
    <n v="100"/>
    <n v="36"/>
    <n v="60"/>
    <n v="14"/>
    <x v="2"/>
    <n v="77"/>
    <n v="71"/>
    <n v="6"/>
    <s v="OP102"/>
    <s v="Davi"/>
    <n v="50"/>
    <x v="15"/>
    <n v="46"/>
    <n v="0.76666666666666705"/>
    <n v="1.00434782608696"/>
    <n v="0.92207792207792205"/>
    <n v="0.71000000000000296"/>
    <x v="30"/>
    <n v="3550"/>
    <n v="1466.6667"/>
  </r>
  <r>
    <x v="91"/>
    <d v="2026-01-09T00:00:00"/>
    <d v="2026-01-09T00:00:00"/>
    <d v="1899-12-30T11:00:00"/>
    <d v="1899-12-30T12:00:00"/>
    <x v="0"/>
    <s v="OP092"/>
    <s v="Para"/>
    <s v="PROD_B"/>
    <s v="Peca Beta"/>
    <x v="1"/>
    <s v="LINHA01"/>
    <n v="120"/>
    <n v="30"/>
    <n v="60"/>
    <n v="1"/>
    <x v="3"/>
    <n v="103"/>
    <n v="95"/>
    <n v="8"/>
    <s v="OP103"/>
    <s v="Joao"/>
    <n v="80"/>
    <x v="17"/>
    <n v="59"/>
    <n v="0.98333333333333295"/>
    <n v="0.87288135593220395"/>
    <n v="0.92233009708737901"/>
    <n v="0.79166666666666696"/>
    <x v="14"/>
    <n v="7600"/>
    <n v="800"/>
  </r>
  <r>
    <x v="92"/>
    <d v="2026-01-09T00:00:00"/>
    <d v="2026-01-09T00:00:00"/>
    <d v="1899-12-30T12:00:00"/>
    <d v="1899-12-30T13:00:00"/>
    <x v="1"/>
    <s v="OP093"/>
    <s v="Rio de Janeiro"/>
    <s v="PROD_C"/>
    <s v="Conjunto Gama"/>
    <x v="2"/>
    <s v="LINHA02"/>
    <n v="80"/>
    <n v="45"/>
    <n v="60"/>
    <n v="9"/>
    <x v="0"/>
    <n v="82"/>
    <n v="82"/>
    <n v="0"/>
    <s v="OP201"/>
    <s v="Lucia"/>
    <n v="120"/>
    <x v="4"/>
    <n v="51"/>
    <n v="0.85"/>
    <n v="1.20588235294118"/>
    <n v="1"/>
    <n v="1.0249999999999999"/>
    <x v="15"/>
    <n v="9840"/>
    <n v="1440"/>
  </r>
  <r>
    <x v="93"/>
    <d v="2026-01-09T00:00:00"/>
    <d v="2026-01-09T00:00:00"/>
    <d v="1899-12-30T13:00:00"/>
    <d v="1899-12-30T14:00:00"/>
    <x v="1"/>
    <s v="OP094"/>
    <s v="Piaui"/>
    <s v="PROD_C"/>
    <s v="Conjunto Gama"/>
    <x v="2"/>
    <s v="LINHA02"/>
    <n v="80"/>
    <n v="45"/>
    <n v="60"/>
    <n v="32"/>
    <x v="5"/>
    <n v="50"/>
    <n v="33"/>
    <n v="17"/>
    <s v="OP202"/>
    <s v="Mariana"/>
    <n v="120"/>
    <x v="27"/>
    <n v="28"/>
    <n v="0.46666666666666701"/>
    <n v="1.33928571428571"/>
    <n v="0.66"/>
    <n v="0.41249999999999898"/>
    <x v="31"/>
    <n v="3960"/>
    <n v="7160"/>
  </r>
  <r>
    <x v="94"/>
    <d v="2026-01-09T00:00:00"/>
    <d v="2026-01-09T00:00:00"/>
    <d v="1899-12-30T14:00:00"/>
    <d v="1899-12-30T15:00:00"/>
    <x v="1"/>
    <s v="OP095"/>
    <s v="Piaui"/>
    <s v="PROD_A"/>
    <s v="Componente Alfa"/>
    <x v="0"/>
    <s v="LINHA01"/>
    <n v="100"/>
    <n v="36"/>
    <n v="60"/>
    <n v="9"/>
    <x v="0"/>
    <n v="87"/>
    <n v="84"/>
    <n v="3"/>
    <s v="OP203"/>
    <s v="Jorge"/>
    <n v="50"/>
    <x v="0"/>
    <n v="51"/>
    <n v="0.85"/>
    <n v="1.02352941176471"/>
    <n v="0.96551724137931005"/>
    <n v="0.84000000000000297"/>
    <x v="0"/>
    <n v="4200"/>
    <n v="900"/>
  </r>
  <r>
    <x v="95"/>
    <d v="2026-01-09T00:00:00"/>
    <d v="2026-01-09T00:00:00"/>
    <d v="1899-12-30T15:00:00"/>
    <d v="1899-12-30T16:00:00"/>
    <x v="1"/>
    <s v="OP096"/>
    <s v="Bahia"/>
    <s v="PROD_A"/>
    <s v="Componente Alfa"/>
    <x v="0"/>
    <s v="LINHA01"/>
    <n v="100"/>
    <n v="36"/>
    <n v="60"/>
    <n v="3"/>
    <x v="6"/>
    <n v="87"/>
    <n v="87"/>
    <n v="0"/>
    <s v="OP301"/>
    <s v="Luis"/>
    <n v="50"/>
    <x v="4"/>
    <n v="57"/>
    <n v="0.95"/>
    <n v="0.91578947368421004"/>
    <n v="1"/>
    <n v="0.87"/>
    <x v="17"/>
    <n v="4350"/>
    <n v="250"/>
  </r>
  <r>
    <x v="96"/>
    <d v="2026-01-10T00:00:00"/>
    <d v="2026-01-10T00:00:00"/>
    <d v="1899-12-30T07:00:00"/>
    <d v="1899-12-30T08:00:00"/>
    <x v="0"/>
    <s v="OP097"/>
    <s v="Parana"/>
    <s v="PROD_A"/>
    <s v="Componente Alfa"/>
    <x v="0"/>
    <s v="LINHA01"/>
    <n v="100"/>
    <n v="36"/>
    <n v="60"/>
    <n v="6"/>
    <x v="0"/>
    <n v="95"/>
    <n v="93"/>
    <n v="2"/>
    <s v="OP101"/>
    <s v="Paulo"/>
    <n v="50"/>
    <x v="14"/>
    <n v="54"/>
    <n v="0.9"/>
    <n v="1.05555555555556"/>
    <n v="0.97894736842105301"/>
    <n v="0.93000000000000405"/>
    <x v="6"/>
    <n v="4650"/>
    <n v="600"/>
  </r>
  <r>
    <x v="97"/>
    <d v="2026-01-10T00:00:00"/>
    <d v="2026-01-10T00:00:00"/>
    <d v="1899-12-30T08:00:00"/>
    <d v="1899-12-30T09:00:00"/>
    <x v="0"/>
    <s v="OP098"/>
    <s v="Minas Gerais"/>
    <s v="PROD_A"/>
    <s v="Componente Alfa"/>
    <x v="0"/>
    <s v="LINHA01"/>
    <n v="100"/>
    <n v="36"/>
    <n v="60"/>
    <n v="0"/>
    <x v="1"/>
    <n v="100"/>
    <n v="99"/>
    <n v="1"/>
    <s v="OP101"/>
    <s v="Paulo"/>
    <n v="50"/>
    <x v="1"/>
    <n v="60"/>
    <n v="1"/>
    <n v="1"/>
    <n v="0.99"/>
    <n v="0.99"/>
    <x v="1"/>
    <n v="4950"/>
    <n v="50"/>
  </r>
  <r>
    <x v="98"/>
    <d v="2026-01-10T00:00:00"/>
    <d v="2026-01-10T00:00:00"/>
    <d v="1899-12-30T09:00:00"/>
    <d v="1899-12-30T10:00:00"/>
    <x v="0"/>
    <s v="OP099"/>
    <s v="Para"/>
    <s v="PROD_A"/>
    <s v="Componente Alfa"/>
    <x v="0"/>
    <s v="LINHA01"/>
    <n v="100"/>
    <n v="36"/>
    <n v="60"/>
    <n v="16"/>
    <x v="2"/>
    <n v="77"/>
    <n v="72"/>
    <n v="5"/>
    <s v="OP102"/>
    <s v="Davi"/>
    <n v="50"/>
    <x v="21"/>
    <n v="44"/>
    <n v="0.73333333333333295"/>
    <n v="1.05"/>
    <n v="0.93506493506493504"/>
    <n v="0.72"/>
    <x v="32"/>
    <n v="3600"/>
    <n v="1583.3333"/>
  </r>
  <r>
    <x v="99"/>
    <d v="2026-01-10T00:00:00"/>
    <d v="2026-01-10T00:00:00"/>
    <d v="1899-12-30T10:00:00"/>
    <d v="1899-12-30T11:00:00"/>
    <x v="0"/>
    <s v="OP100"/>
    <s v="Parana"/>
    <s v="PROD_B"/>
    <s v="Peca Beta"/>
    <x v="1"/>
    <s v="LINHA01"/>
    <n v="120"/>
    <n v="30"/>
    <n v="60"/>
    <n v="1"/>
    <x v="3"/>
    <n v="114"/>
    <n v="110"/>
    <n v="4"/>
    <s v="OP103"/>
    <s v="Joao"/>
    <n v="80"/>
    <x v="8"/>
    <n v="59"/>
    <n v="0.98333333333333295"/>
    <n v="0.96610169491525399"/>
    <n v="0.96491228070175405"/>
    <n v="0.91666666666666596"/>
    <x v="14"/>
    <n v="8800"/>
    <n v="480"/>
  </r>
  <r>
    <x v="100"/>
    <d v="2026-01-10T00:00:00"/>
    <d v="2026-01-10T00:00:00"/>
    <d v="1899-12-30T11:00:00"/>
    <d v="1899-12-30T12:00:00"/>
    <x v="0"/>
    <s v="OP101"/>
    <s v="Parana"/>
    <s v="PROD_B"/>
    <s v="Peca Beta"/>
    <x v="1"/>
    <s v="LINHA01"/>
    <n v="120"/>
    <n v="30"/>
    <n v="60"/>
    <n v="0"/>
    <x v="1"/>
    <n v="112"/>
    <n v="112"/>
    <n v="0"/>
    <s v="OP103"/>
    <s v="Joao"/>
    <n v="80"/>
    <x v="4"/>
    <n v="60"/>
    <n v="1"/>
    <n v="0.93333333333333302"/>
    <n v="1"/>
    <n v="0.93333333333333302"/>
    <x v="1"/>
    <n v="8960"/>
    <n v="0"/>
  </r>
  <r>
    <x v="101"/>
    <d v="2026-01-10T00:00:00"/>
    <d v="2026-01-10T00:00:00"/>
    <d v="1899-12-30T12:00:00"/>
    <d v="1899-12-30T13:00:00"/>
    <x v="0"/>
    <s v="OP102"/>
    <s v="Piaui"/>
    <s v="PROD_B"/>
    <s v="Peca Beta"/>
    <x v="1"/>
    <s v="LINHA01"/>
    <n v="120"/>
    <n v="30"/>
    <n v="60"/>
    <n v="4"/>
    <x v="4"/>
    <n v="88"/>
    <n v="83"/>
    <n v="5"/>
    <s v="OP104"/>
    <s v="Anna"/>
    <n v="80"/>
    <x v="3"/>
    <n v="56"/>
    <n v="0.93333333333333302"/>
    <n v="0.78571428571428603"/>
    <n v="0.94318181818181801"/>
    <n v="0.69166666666666698"/>
    <x v="33"/>
    <n v="6640"/>
    <n v="1040"/>
  </r>
  <r>
    <x v="102"/>
    <d v="2026-01-10T00:00:00"/>
    <d v="2026-01-10T00:00:00"/>
    <d v="1899-12-30T13:00:00"/>
    <d v="1899-12-30T14:00:00"/>
    <x v="1"/>
    <s v="OP103"/>
    <s v="Para"/>
    <s v="PROD_C"/>
    <s v="Conjunto Gama"/>
    <x v="2"/>
    <s v="LINHA02"/>
    <n v="80"/>
    <n v="45"/>
    <n v="60"/>
    <n v="8"/>
    <x v="0"/>
    <n v="68"/>
    <n v="68"/>
    <n v="0"/>
    <s v="OP201"/>
    <s v="Lucia"/>
    <n v="120"/>
    <x v="4"/>
    <n v="52"/>
    <n v="0.86666666666666703"/>
    <n v="0.98076923076923095"/>
    <n v="1"/>
    <n v="0.85"/>
    <x v="4"/>
    <n v="8160"/>
    <n v="1280"/>
  </r>
  <r>
    <x v="103"/>
    <d v="2026-01-10T00:00:00"/>
    <d v="2026-01-10T00:00:00"/>
    <d v="1899-12-30T14:00:00"/>
    <d v="1899-12-30T15:00:00"/>
    <x v="1"/>
    <s v="OP104"/>
    <s v="Bahia"/>
    <s v="PROD_C"/>
    <s v="Conjunto Gama"/>
    <x v="2"/>
    <s v="LINHA02"/>
    <n v="80"/>
    <n v="45"/>
    <n v="60"/>
    <n v="0"/>
    <x v="1"/>
    <n v="73"/>
    <n v="65"/>
    <n v="8"/>
    <s v="OP201"/>
    <s v="Lucia"/>
    <n v="120"/>
    <x v="28"/>
    <n v="60"/>
    <n v="1"/>
    <n v="0.91249999999999998"/>
    <n v="0.89041095890411004"/>
    <n v="0.8125"/>
    <x v="1"/>
    <n v="7800"/>
    <n v="960"/>
  </r>
  <r>
    <x v="104"/>
    <d v="2026-01-10T00:00:00"/>
    <d v="2026-01-10T00:00:00"/>
    <d v="1899-12-30T15:00:00"/>
    <d v="1899-12-30T16:00:00"/>
    <x v="1"/>
    <s v="OP105"/>
    <s v="Goias"/>
    <s v="PROD_C"/>
    <s v="Conjunto Gama"/>
    <x v="2"/>
    <s v="LINHA02"/>
    <n v="80"/>
    <n v="45"/>
    <n v="60"/>
    <n v="42"/>
    <x v="5"/>
    <n v="49"/>
    <n v="0"/>
    <n v="49"/>
    <s v="OP202"/>
    <s v="Mariana"/>
    <n v="120"/>
    <x v="29"/>
    <n v="18"/>
    <n v="0.3"/>
    <n v="2.0416666666666701"/>
    <n v="0"/>
    <n v="0"/>
    <x v="34"/>
    <n v="0"/>
    <n v="12600"/>
  </r>
  <r>
    <x v="105"/>
    <d v="2026-01-10T00:00:00"/>
    <d v="2026-01-10T00:00:00"/>
    <d v="1899-12-30T16:00:00"/>
    <d v="1899-12-30T17:00:00"/>
    <x v="1"/>
    <s v="OP106"/>
    <s v="Goias"/>
    <s v="PROD_A"/>
    <s v="Componente Alfa"/>
    <x v="0"/>
    <s v="LINHA01"/>
    <n v="100"/>
    <n v="36"/>
    <n v="60"/>
    <n v="5"/>
    <x v="0"/>
    <n v="99"/>
    <n v="96"/>
    <n v="3"/>
    <s v="OP203"/>
    <s v="Jorge"/>
    <n v="50"/>
    <x v="0"/>
    <n v="55"/>
    <n v="0.91666666666666596"/>
    <n v="1.08"/>
    <n v="0.96969696969696995"/>
    <n v="0.96"/>
    <x v="13"/>
    <n v="4800"/>
    <n v="566.66669999999999"/>
  </r>
  <r>
    <x v="106"/>
    <d v="2026-01-10T00:00:00"/>
    <d v="2026-01-10T00:00:00"/>
    <d v="1899-12-30T17:00:00"/>
    <d v="1899-12-30T18:00:00"/>
    <x v="1"/>
    <s v="OP107"/>
    <s v="Parana"/>
    <s v="PROD_A"/>
    <s v="Componente Alfa"/>
    <x v="0"/>
    <s v="LINHA01"/>
    <n v="100"/>
    <n v="36"/>
    <n v="60"/>
    <n v="0"/>
    <x v="1"/>
    <n v="103"/>
    <n v="102"/>
    <n v="1"/>
    <s v="OP301"/>
    <s v="Luis"/>
    <n v="50"/>
    <x v="1"/>
    <n v="60"/>
    <n v="1"/>
    <n v="1.03"/>
    <n v="0.990291262135922"/>
    <n v="1.02"/>
    <x v="1"/>
    <n v="5100"/>
    <n v="50"/>
  </r>
  <r>
    <x v="107"/>
    <d v="2026-01-10T00:00:00"/>
    <d v="2026-01-10T00:00:00"/>
    <d v="1899-12-30T17:00:00"/>
    <d v="1899-12-30T18:00:00"/>
    <x v="1"/>
    <s v="OP108"/>
    <s v="Bahia"/>
    <s v="PROD_A"/>
    <s v="Componente Alfa"/>
    <x v="0"/>
    <s v="LINHA01"/>
    <n v="100"/>
    <n v="36"/>
    <n v="60"/>
    <n v="3"/>
    <x v="6"/>
    <n v="89"/>
    <n v="89"/>
    <n v="0"/>
    <s v="OP301"/>
    <s v="Luis"/>
    <n v="50"/>
    <x v="4"/>
    <n v="57"/>
    <n v="0.95"/>
    <n v="0.93684210526315803"/>
    <n v="1"/>
    <n v="0.89"/>
    <x v="17"/>
    <n v="4450"/>
    <n v="250"/>
  </r>
  <r>
    <x v="108"/>
    <d v="2026-01-11T00:00:00"/>
    <d v="2026-01-11T00:00:00"/>
    <d v="1899-12-30T07:00:00"/>
    <d v="1899-12-30T08:00:00"/>
    <x v="0"/>
    <s v="OP109"/>
    <s v="Para"/>
    <s v="PROD_B"/>
    <s v="Peca Beta"/>
    <x v="1"/>
    <s v="LINHA01"/>
    <n v="120"/>
    <n v="30"/>
    <n v="60"/>
    <n v="0"/>
    <x v="1"/>
    <n v="116"/>
    <n v="112"/>
    <n v="4"/>
    <s v="OP101"/>
    <s v="Paulo"/>
    <n v="80"/>
    <x v="8"/>
    <n v="60"/>
    <n v="1"/>
    <n v="0.96666666666666701"/>
    <n v="0.96551724137931005"/>
    <n v="0.93333333333333302"/>
    <x v="1"/>
    <n v="8960"/>
    <n v="320"/>
  </r>
  <r>
    <x v="109"/>
    <d v="2026-01-11T00:00:00"/>
    <d v="2026-01-11T00:00:00"/>
    <d v="1899-12-30T08:00:00"/>
    <d v="1899-12-30T09:00:00"/>
    <x v="0"/>
    <s v="OP110"/>
    <s v="Sao Paulo"/>
    <s v="PROD_B"/>
    <s v="Peca Beta"/>
    <x v="1"/>
    <s v="LINHA01"/>
    <n v="120"/>
    <n v="30"/>
    <n v="60"/>
    <n v="9"/>
    <x v="7"/>
    <n v="0"/>
    <n v="0"/>
    <n v="0"/>
    <s v="OP102"/>
    <s v="Davi"/>
    <n v="80"/>
    <x v="4"/>
    <n v="51"/>
    <n v="0.85"/>
    <n v="0"/>
    <n v="0"/>
    <n v="0"/>
    <x v="15"/>
    <n v="0"/>
    <n v="1440"/>
  </r>
  <r>
    <x v="110"/>
    <d v="2026-01-11T00:00:00"/>
    <d v="2026-01-11T00:00:00"/>
    <d v="1899-12-30T09:00:00"/>
    <d v="1899-12-30T10:00:00"/>
    <x v="0"/>
    <s v="OP111"/>
    <s v="Sao Paulo"/>
    <s v="PROD_B"/>
    <s v="Peca Beta"/>
    <x v="1"/>
    <s v="LINHA01"/>
    <n v="120"/>
    <n v="30"/>
    <n v="60"/>
    <n v="2"/>
    <x v="8"/>
    <n v="99"/>
    <n v="98"/>
    <n v="1"/>
    <s v="OP102"/>
    <s v="Davi"/>
    <n v="80"/>
    <x v="30"/>
    <n v="58"/>
    <n v="0.96666666666666701"/>
    <n v="0.85344827586206895"/>
    <n v="0.98989898989898994"/>
    <n v="0.81666666666666698"/>
    <x v="3"/>
    <n v="7840"/>
    <n v="400"/>
  </r>
  <r>
    <x v="111"/>
    <d v="2026-01-11T00:00:00"/>
    <d v="2026-01-11T00:00:00"/>
    <d v="1899-12-30T10:00:00"/>
    <d v="1899-12-30T11:00:00"/>
    <x v="0"/>
    <s v="OP112"/>
    <s v="Piaui"/>
    <s v="PROD_C"/>
    <s v="Conjunto Gama"/>
    <x v="2"/>
    <s v="LINHA02"/>
    <n v="80"/>
    <n v="45"/>
    <n v="60"/>
    <n v="0"/>
    <x v="1"/>
    <n v="86"/>
    <n v="79"/>
    <n v="7"/>
    <s v="OP103"/>
    <s v="Joao"/>
    <n v="120"/>
    <x v="12"/>
    <n v="60"/>
    <n v="1"/>
    <n v="1.075"/>
    <n v="0.918604651162791"/>
    <n v="0.98750000000000004"/>
    <x v="1"/>
    <n v="9480"/>
    <n v="840"/>
  </r>
  <r>
    <x v="112"/>
    <d v="2026-01-11T00:00:00"/>
    <d v="2026-01-11T00:00:00"/>
    <d v="1899-12-30T11:00:00"/>
    <d v="1899-12-30T12:00:00"/>
    <x v="0"/>
    <s v="OP113"/>
    <s v="Goias"/>
    <s v="PROD_C"/>
    <s v="Conjunto Gama"/>
    <x v="2"/>
    <s v="LINHA02"/>
    <n v="80"/>
    <n v="45"/>
    <n v="60"/>
    <n v="15"/>
    <x v="9"/>
    <n v="69"/>
    <n v="69"/>
    <n v="0"/>
    <s v="OP104"/>
    <s v="Anna"/>
    <n v="120"/>
    <x v="4"/>
    <n v="45"/>
    <n v="0.75"/>
    <n v="1.1499999999999999"/>
    <n v="1"/>
    <n v="0.86250000000000004"/>
    <x v="35"/>
    <n v="8280"/>
    <n v="2400"/>
  </r>
  <r>
    <x v="113"/>
    <d v="2026-01-11T00:00:00"/>
    <d v="2026-01-11T00:00:00"/>
    <d v="1899-12-30T12:00:00"/>
    <d v="1899-12-30T13:00:00"/>
    <x v="1"/>
    <s v="OP114"/>
    <s v="Goias"/>
    <s v="PROD_A"/>
    <s v="Componente Alfa"/>
    <x v="0"/>
    <s v="LINHA01"/>
    <n v="100"/>
    <n v="36"/>
    <n v="60"/>
    <n v="0"/>
    <x v="1"/>
    <n v="97"/>
    <n v="94"/>
    <n v="3"/>
    <s v="OP201"/>
    <s v="Lucia"/>
    <n v="50"/>
    <x v="0"/>
    <n v="60"/>
    <n v="1"/>
    <n v="0.97"/>
    <n v="0.96907216494845405"/>
    <n v="0.94"/>
    <x v="1"/>
    <n v="4700"/>
    <n v="150"/>
  </r>
  <r>
    <x v="114"/>
    <d v="2026-01-11T00:00:00"/>
    <d v="2026-01-11T00:00:00"/>
    <d v="1899-12-30T13:00:00"/>
    <d v="1899-12-30T14:00:00"/>
    <x v="1"/>
    <s v="OP115"/>
    <s v="Bahia"/>
    <s v="PROD_A"/>
    <s v="Componente Alfa"/>
    <x v="0"/>
    <s v="LINHA01"/>
    <n v="100"/>
    <n v="36"/>
    <n v="60"/>
    <n v="6"/>
    <x v="10"/>
    <n v="89"/>
    <n v="89"/>
    <n v="0"/>
    <s v="OP202"/>
    <s v="Mariana"/>
    <n v="50"/>
    <x v="4"/>
    <n v="54"/>
    <n v="0.9"/>
    <n v="0.98888888888888904"/>
    <n v="1"/>
    <n v="0.89"/>
    <x v="6"/>
    <n v="4450"/>
    <n v="500"/>
  </r>
  <r>
    <x v="115"/>
    <d v="2026-01-11T00:00:00"/>
    <d v="2026-01-11T00:00:00"/>
    <d v="1899-12-30T14:00:00"/>
    <d v="1899-12-30T15:00:00"/>
    <x v="1"/>
    <s v="OP116"/>
    <s v="Goias"/>
    <s v="PROD_B"/>
    <s v="Peca Beta"/>
    <x v="1"/>
    <s v="LINHA01"/>
    <n v="120"/>
    <n v="30"/>
    <n v="60"/>
    <n v="0"/>
    <x v="1"/>
    <n v="114"/>
    <n v="107"/>
    <n v="7"/>
    <s v="OP203"/>
    <s v="Jorge"/>
    <n v="80"/>
    <x v="5"/>
    <n v="60"/>
    <n v="1"/>
    <n v="0.95"/>
    <n v="0.93859649122806998"/>
    <n v="0.89166666666666605"/>
    <x v="1"/>
    <n v="8560"/>
    <n v="560"/>
  </r>
  <r>
    <x v="116"/>
    <d v="2026-01-11T00:00:00"/>
    <d v="2026-01-11T00:00:00"/>
    <d v="1899-12-30T15:00:00"/>
    <d v="1899-12-30T16:00:00"/>
    <x v="1"/>
    <s v="OP117"/>
    <s v="Sao Paulo"/>
    <s v="PROD_B"/>
    <s v="Peca Beta"/>
    <x v="1"/>
    <s v="LINHA01"/>
    <n v="120"/>
    <n v="30"/>
    <n v="60"/>
    <n v="17"/>
    <x v="11"/>
    <n v="80"/>
    <n v="71"/>
    <n v="9"/>
    <s v="OP201"/>
    <s v="Lucia"/>
    <n v="80"/>
    <x v="31"/>
    <n v="43"/>
    <n v="0.71666666666666701"/>
    <n v="0.93023255813953498"/>
    <n v="0.88749999999999996"/>
    <n v="0.59166666666666701"/>
    <x v="23"/>
    <n v="5680"/>
    <n v="3440"/>
  </r>
  <r>
    <x v="117"/>
    <d v="2026-01-11T00:00:00"/>
    <d v="2026-01-11T00:00:00"/>
    <d v="1899-12-30T17:00:00"/>
    <d v="1899-12-30T18:00:00"/>
    <x v="2"/>
    <s v="OP118"/>
    <s v="Piaui"/>
    <s v="PROD_C"/>
    <s v="Conjunto Gama"/>
    <x v="2"/>
    <s v="LINHA02"/>
    <n v="80"/>
    <n v="45"/>
    <n v="60"/>
    <n v="0"/>
    <x v="1"/>
    <n v="74"/>
    <n v="74"/>
    <n v="0"/>
    <s v="OP302"/>
    <s v="Jose"/>
    <n v="120"/>
    <x v="4"/>
    <n v="60"/>
    <n v="1"/>
    <n v="0.92500000000000004"/>
    <n v="1"/>
    <n v="0.92500000000000004"/>
    <x v="1"/>
    <n v="8880"/>
    <n v="0"/>
  </r>
  <r>
    <x v="118"/>
    <d v="2026-01-11T00:00:00"/>
    <d v="2026-01-11T00:00:00"/>
    <d v="1899-12-30T18:00:00"/>
    <d v="1899-12-30T19:00:00"/>
    <x v="2"/>
    <s v="OP119"/>
    <s v="Sao Paulo"/>
    <s v="PROD_C"/>
    <s v="Conjunto Gama"/>
    <x v="2"/>
    <s v="LINHA02"/>
    <n v="80"/>
    <n v="45"/>
    <n v="60"/>
    <n v="31"/>
    <x v="12"/>
    <n v="63"/>
    <n v="47"/>
    <n v="16"/>
    <s v="OP302"/>
    <s v="Jose"/>
    <n v="120"/>
    <x v="18"/>
    <n v="29"/>
    <n v="0.483333333333333"/>
    <n v="1.6293103448275901"/>
    <n v="0.74603174603174605"/>
    <n v="0.58750000000000102"/>
    <x v="24"/>
    <n v="5640"/>
    <n v="6880"/>
  </r>
  <r>
    <x v="119"/>
    <d v="2026-01-12T00:00:00"/>
    <d v="2026-01-12T00:00:00"/>
    <d v="1899-12-30T07:00:00"/>
    <d v="1899-12-30T08:00:00"/>
    <x v="0"/>
    <s v="OP120"/>
    <s v="Goias"/>
    <s v="PROD_A"/>
    <s v="Componente Alfa"/>
    <x v="0"/>
    <s v="LINHA01"/>
    <n v="100"/>
    <n v="36"/>
    <n v="60"/>
    <n v="6"/>
    <x v="13"/>
    <n v="94"/>
    <n v="91"/>
    <n v="3"/>
    <s v="OP101"/>
    <s v="Paulo"/>
    <n v="50"/>
    <x v="0"/>
    <n v="54"/>
    <n v="0.9"/>
    <n v="1.0444444444444401"/>
    <n v="0.96808510638297895"/>
    <n v="0.90999999999999603"/>
    <x v="6"/>
    <n v="4550"/>
    <n v="650"/>
  </r>
  <r>
    <x v="120"/>
    <d v="2026-01-12T00:00:00"/>
    <d v="2026-01-12T00:00:00"/>
    <d v="1899-12-30T08:00:00"/>
    <d v="1899-12-30T09:00:00"/>
    <x v="0"/>
    <s v="OP121"/>
    <s v="Sao Paulo"/>
    <s v="PROD_A"/>
    <s v="Componente Alfa"/>
    <x v="0"/>
    <s v="LINHA01"/>
    <n v="100"/>
    <n v="36"/>
    <n v="60"/>
    <n v="0"/>
    <x v="1"/>
    <n v="92"/>
    <n v="92"/>
    <n v="0"/>
    <s v="OP101"/>
    <s v="Paulo"/>
    <n v="50"/>
    <x v="4"/>
    <n v="60"/>
    <n v="1"/>
    <n v="0.92"/>
    <n v="1"/>
    <n v="0.92"/>
    <x v="1"/>
    <n v="4600"/>
    <n v="0"/>
  </r>
  <r>
    <x v="121"/>
    <d v="2026-01-12T00:00:00"/>
    <d v="2026-01-12T00:00:00"/>
    <d v="1899-12-30T09:00:00"/>
    <d v="1899-12-30T10:00:00"/>
    <x v="0"/>
    <s v="OP122"/>
    <s v="Rio de Janeiro"/>
    <s v="PROD_A"/>
    <s v="Componente Alfa"/>
    <x v="0"/>
    <s v="LINHA01"/>
    <n v="100"/>
    <n v="36"/>
    <n v="60"/>
    <n v="5"/>
    <x v="0"/>
    <n v="82"/>
    <n v="80"/>
    <n v="2"/>
    <s v="OP101"/>
    <s v="Paulo"/>
    <n v="50"/>
    <x v="14"/>
    <n v="55"/>
    <n v="0.91666666666666596"/>
    <n v="0.89454545454545398"/>
    <n v="0.97560975609756095"/>
    <n v="0.79999999999999905"/>
    <x v="13"/>
    <n v="4000"/>
    <n v="516.66669999999999"/>
  </r>
  <r>
    <x v="122"/>
    <d v="2026-01-12T00:00:00"/>
    <d v="2026-01-12T00:00:00"/>
    <d v="1899-12-30T10:00:00"/>
    <d v="1899-12-30T11:00:00"/>
    <x v="0"/>
    <s v="OP123"/>
    <s v="Parana"/>
    <s v="PROD_A"/>
    <s v="Componente Alfa"/>
    <x v="0"/>
    <s v="LINHA01"/>
    <n v="100"/>
    <n v="36"/>
    <n v="60"/>
    <n v="14"/>
    <x v="2"/>
    <n v="78"/>
    <n v="73"/>
    <n v="5"/>
    <s v="OP102"/>
    <s v="Davi"/>
    <n v="50"/>
    <x v="21"/>
    <n v="46"/>
    <n v="0.76666666666666705"/>
    <n v="1.01739130434783"/>
    <n v="0.93589743589743601"/>
    <n v="0.73000000000000298"/>
    <x v="30"/>
    <n v="3650"/>
    <n v="1416.6667"/>
  </r>
  <r>
    <x v="123"/>
    <d v="2026-01-12T00:00:00"/>
    <d v="2026-01-12T00:00:00"/>
    <d v="1899-12-30T11:00:00"/>
    <d v="1899-12-30T12:00:00"/>
    <x v="0"/>
    <s v="OP124"/>
    <s v="Goias"/>
    <s v="PROD_B"/>
    <s v="Peca Beta"/>
    <x v="1"/>
    <s v="LINHA01"/>
    <n v="120"/>
    <n v="30"/>
    <n v="60"/>
    <n v="2"/>
    <x v="3"/>
    <n v="120"/>
    <n v="115"/>
    <n v="5"/>
    <s v="OP103"/>
    <s v="Joao"/>
    <n v="80"/>
    <x v="3"/>
    <n v="58"/>
    <n v="0.96666666666666701"/>
    <n v="1.0344827586206899"/>
    <n v="0.95833333333333404"/>
    <n v="0.95833333333333504"/>
    <x v="3"/>
    <n v="9200"/>
    <n v="720"/>
  </r>
  <r>
    <x v="124"/>
    <d v="2026-01-12T00:00:00"/>
    <d v="2026-01-12T00:00:00"/>
    <d v="1899-12-30T12:00:00"/>
    <d v="1899-12-30T13:00:00"/>
    <x v="1"/>
    <s v="OP125"/>
    <s v="Minas Gerais"/>
    <s v="PROD_C"/>
    <s v="Conjunto Gama"/>
    <x v="2"/>
    <s v="LINHA02"/>
    <n v="80"/>
    <n v="45"/>
    <n v="60"/>
    <n v="7"/>
    <x v="0"/>
    <n v="72"/>
    <n v="72"/>
    <n v="0"/>
    <s v="OP201"/>
    <s v="Lucia"/>
    <n v="120"/>
    <x v="4"/>
    <n v="53"/>
    <n v="0.88333333333333297"/>
    <n v="1.0188679245283001"/>
    <n v="1"/>
    <n v="0.89999999999999802"/>
    <x v="36"/>
    <n v="8640"/>
    <n v="1120"/>
  </r>
  <r>
    <x v="125"/>
    <d v="2026-01-12T00:00:00"/>
    <d v="2026-01-12T00:00:00"/>
    <d v="1899-12-30T13:00:00"/>
    <d v="1899-12-30T14:00:00"/>
    <x v="1"/>
    <s v="OP126"/>
    <s v="Goias"/>
    <s v="PROD_C"/>
    <s v="Conjunto Gama"/>
    <x v="2"/>
    <s v="LINHA02"/>
    <n v="80"/>
    <n v="45"/>
    <n v="60"/>
    <n v="26"/>
    <x v="5"/>
    <n v="51"/>
    <n v="30"/>
    <n v="21"/>
    <s v="OP202"/>
    <s v="Mariana"/>
    <n v="120"/>
    <x v="26"/>
    <n v="34"/>
    <n v="0.56666666666666698"/>
    <n v="1.125"/>
    <n v="0.58823529411764697"/>
    <n v="0.375"/>
    <x v="37"/>
    <n v="3600"/>
    <n v="6680"/>
  </r>
  <r>
    <x v="126"/>
    <d v="2026-01-12T00:00:00"/>
    <d v="2026-01-12T00:00:00"/>
    <d v="1899-12-30T14:00:00"/>
    <d v="1899-12-30T15:00:00"/>
    <x v="1"/>
    <s v="OP127"/>
    <s v="Mato Grosso do Sul"/>
    <s v="PROD_A"/>
    <s v="Componente Alfa"/>
    <x v="0"/>
    <s v="LINHA01"/>
    <n v="100"/>
    <n v="36"/>
    <n v="60"/>
    <n v="6"/>
    <x v="0"/>
    <n v="98"/>
    <n v="96"/>
    <n v="2"/>
    <s v="OP203"/>
    <s v="Jorge"/>
    <n v="50"/>
    <x v="14"/>
    <n v="54"/>
    <n v="0.9"/>
    <n v="1.0888888888888899"/>
    <n v="0.97959183673469397"/>
    <n v="0.96000000000000096"/>
    <x v="6"/>
    <n v="4800"/>
    <n v="600"/>
  </r>
  <r>
    <x v="127"/>
    <d v="2026-01-12T00:00:00"/>
    <d v="2026-01-12T00:00:00"/>
    <d v="1899-12-30T15:00:00"/>
    <d v="1899-12-30T16:00:00"/>
    <x v="1"/>
    <s v="OP128"/>
    <s v="Minas Gerais"/>
    <s v="PROD_A"/>
    <s v="Componente Alfa"/>
    <x v="0"/>
    <s v="LINHA01"/>
    <n v="100"/>
    <n v="36"/>
    <n v="60"/>
    <n v="3"/>
    <x v="6"/>
    <n v="96"/>
    <n v="96"/>
    <n v="0"/>
    <s v="OP301"/>
    <s v="Luis"/>
    <n v="50"/>
    <x v="4"/>
    <n v="57"/>
    <n v="0.95"/>
    <n v="1.0105263157894699"/>
    <n v="1"/>
    <n v="0.95999999999999597"/>
    <x v="17"/>
    <n v="4800"/>
    <n v="250"/>
  </r>
  <r>
    <x v="128"/>
    <d v="2026-01-13T00:00:00"/>
    <d v="2026-01-13T00:00:00"/>
    <d v="1899-12-30T07:00:00"/>
    <d v="1899-12-30T08:00:00"/>
    <x v="0"/>
    <s v="OP129"/>
    <s v="Mato Grosso do Sul"/>
    <s v="PROD_A"/>
    <s v="Componente Alfa"/>
    <x v="0"/>
    <s v="LINHA01"/>
    <n v="100"/>
    <n v="36"/>
    <n v="60"/>
    <n v="9"/>
    <x v="0"/>
    <n v="89"/>
    <n v="86"/>
    <n v="3"/>
    <s v="OP101"/>
    <s v="Paulo"/>
    <n v="50"/>
    <x v="0"/>
    <n v="51"/>
    <n v="0.85"/>
    <n v="1.04705882352941"/>
    <n v="0.96629213483146104"/>
    <n v="0.85999999999999899"/>
    <x v="0"/>
    <n v="4300"/>
    <n v="900"/>
  </r>
  <r>
    <x v="129"/>
    <d v="2026-01-13T00:00:00"/>
    <d v="2026-01-13T00:00:00"/>
    <d v="1899-12-30T08:00:00"/>
    <d v="1899-12-30T09:00:00"/>
    <x v="0"/>
    <s v="OP130"/>
    <s v="Mato Grosso do Sul"/>
    <s v="PROD_A"/>
    <s v="Componente Alfa"/>
    <x v="0"/>
    <s v="LINHA01"/>
    <n v="100"/>
    <n v="36"/>
    <n v="60"/>
    <n v="0"/>
    <x v="1"/>
    <n v="91"/>
    <n v="90"/>
    <n v="1"/>
    <s v="OP101"/>
    <s v="Paulo"/>
    <n v="50"/>
    <x v="1"/>
    <n v="60"/>
    <n v="1"/>
    <n v="0.91"/>
    <n v="0.98901098901098905"/>
    <n v="0.9"/>
    <x v="1"/>
    <n v="4500"/>
    <n v="50"/>
  </r>
  <r>
    <x v="130"/>
    <d v="2026-01-13T00:00:00"/>
    <d v="2026-01-13T00:00:00"/>
    <d v="1899-12-30T09:00:00"/>
    <d v="1899-12-30T10:00:00"/>
    <x v="0"/>
    <s v="OP131"/>
    <s v="Piaui"/>
    <s v="PROD_A"/>
    <s v="Componente Alfa"/>
    <x v="0"/>
    <s v="LINHA01"/>
    <n v="100"/>
    <n v="36"/>
    <n v="60"/>
    <n v="17"/>
    <x v="2"/>
    <n v="69"/>
    <n v="63"/>
    <n v="6"/>
    <s v="OP102"/>
    <s v="Davi"/>
    <n v="50"/>
    <x v="15"/>
    <n v="43"/>
    <n v="0.71666666666666701"/>
    <n v="0.96279069767441905"/>
    <n v="0.91304347826086996"/>
    <n v="0.630000000000001"/>
    <x v="38"/>
    <n v="3150"/>
    <n v="1716.6667"/>
  </r>
  <r>
    <x v="131"/>
    <d v="2026-01-13T00:00:00"/>
    <d v="2026-01-13T00:00:00"/>
    <d v="1899-12-30T10:00:00"/>
    <d v="1899-12-30T11:00:00"/>
    <x v="0"/>
    <s v="OP132"/>
    <s v="Minas Gerais"/>
    <s v="PROD_B"/>
    <s v="Peca Beta"/>
    <x v="1"/>
    <s v="LINHA01"/>
    <n v="120"/>
    <n v="30"/>
    <n v="60"/>
    <n v="2"/>
    <x v="3"/>
    <n v="102"/>
    <n v="99"/>
    <n v="3"/>
    <s v="OP103"/>
    <s v="Joao"/>
    <n v="80"/>
    <x v="10"/>
    <n v="58"/>
    <n v="0.96666666666666701"/>
    <n v="0.87931034482758597"/>
    <n v="0.97058823529411797"/>
    <n v="0.82499999999999996"/>
    <x v="3"/>
    <n v="7920"/>
    <n v="560"/>
  </r>
  <r>
    <x v="132"/>
    <d v="2026-01-13T00:00:00"/>
    <d v="2026-01-13T00:00:00"/>
    <d v="1899-12-30T11:00:00"/>
    <d v="1899-12-30T12:00:00"/>
    <x v="0"/>
    <s v="OP133"/>
    <s v="Parana"/>
    <s v="PROD_B"/>
    <s v="Peca Beta"/>
    <x v="1"/>
    <s v="LINHA01"/>
    <n v="120"/>
    <n v="30"/>
    <n v="60"/>
    <n v="0"/>
    <x v="1"/>
    <n v="119"/>
    <n v="119"/>
    <n v="0"/>
    <s v="OP103"/>
    <s v="Joao"/>
    <n v="80"/>
    <x v="4"/>
    <n v="60"/>
    <n v="1"/>
    <n v="0.99166666666666703"/>
    <n v="1"/>
    <n v="0.99166666666666703"/>
    <x v="1"/>
    <n v="9520"/>
    <n v="0"/>
  </r>
  <r>
    <x v="133"/>
    <d v="2026-01-13T00:00:00"/>
    <d v="2026-01-13T00:00:00"/>
    <d v="1899-12-30T12:00:00"/>
    <d v="1899-12-30T13:00:00"/>
    <x v="0"/>
    <s v="OP134"/>
    <s v="Parana"/>
    <s v="PROD_B"/>
    <s v="Peca Beta"/>
    <x v="1"/>
    <s v="LINHA01"/>
    <n v="120"/>
    <n v="30"/>
    <n v="60"/>
    <n v="9"/>
    <x v="4"/>
    <n v="86"/>
    <n v="80"/>
    <n v="6"/>
    <s v="OP104"/>
    <s v="Anna"/>
    <n v="80"/>
    <x v="24"/>
    <n v="51"/>
    <n v="0.85"/>
    <n v="0.84313725490196101"/>
    <n v="0.93023255813953498"/>
    <n v="0.66666666666666696"/>
    <x v="15"/>
    <n v="6400"/>
    <n v="1920"/>
  </r>
  <r>
    <x v="134"/>
    <d v="2026-01-13T00:00:00"/>
    <d v="2026-01-13T00:00:00"/>
    <d v="1899-12-30T13:00:00"/>
    <d v="1899-12-30T14:00:00"/>
    <x v="1"/>
    <s v="OP135"/>
    <s v="Mato Grosso do Sul"/>
    <s v="PROD_C"/>
    <s v="Conjunto Gama"/>
    <x v="2"/>
    <s v="LINHA02"/>
    <n v="80"/>
    <n v="45"/>
    <n v="60"/>
    <n v="9"/>
    <x v="0"/>
    <n v="80"/>
    <n v="80"/>
    <n v="0"/>
    <s v="OP201"/>
    <s v="Lucia"/>
    <n v="120"/>
    <x v="4"/>
    <n v="51"/>
    <n v="0.85"/>
    <n v="1.1764705882352899"/>
    <n v="1"/>
    <n v="0.999999999999996"/>
    <x v="15"/>
    <n v="9600"/>
    <n v="1440"/>
  </r>
  <r>
    <x v="135"/>
    <d v="2026-01-13T00:00:00"/>
    <d v="2026-01-13T00:00:00"/>
    <d v="1899-12-30T14:00:00"/>
    <d v="1899-12-30T15:00:00"/>
    <x v="1"/>
    <s v="OP136"/>
    <s v="Piaui"/>
    <s v="PROD_C"/>
    <s v="Conjunto Gama"/>
    <x v="2"/>
    <s v="LINHA02"/>
    <n v="80"/>
    <n v="45"/>
    <n v="60"/>
    <n v="0"/>
    <x v="1"/>
    <n v="72"/>
    <n v="54"/>
    <n v="18"/>
    <s v="OP201"/>
    <s v="Lucia"/>
    <n v="120"/>
    <x v="20"/>
    <n v="60"/>
    <n v="1"/>
    <n v="0.9"/>
    <n v="0.75"/>
    <n v="0.67500000000000004"/>
    <x v="1"/>
    <n v="6480"/>
    <n v="2160"/>
  </r>
  <r>
    <x v="136"/>
    <d v="2026-01-13T00:00:00"/>
    <d v="2026-01-13T00:00:00"/>
    <d v="1899-12-30T15:00:00"/>
    <d v="1899-12-30T16:00:00"/>
    <x v="1"/>
    <s v="OP137"/>
    <s v="Bahia"/>
    <s v="PROD_C"/>
    <s v="Conjunto Gama"/>
    <x v="2"/>
    <s v="LINHA02"/>
    <n v="80"/>
    <n v="45"/>
    <n v="60"/>
    <n v="40"/>
    <x v="5"/>
    <n v="54"/>
    <n v="0"/>
    <n v="54"/>
    <s v="OP202"/>
    <s v="Mariana"/>
    <n v="120"/>
    <x v="32"/>
    <n v="20"/>
    <n v="0.33333333333333298"/>
    <n v="2.0249999999999999"/>
    <n v="0"/>
    <n v="0"/>
    <x v="39"/>
    <n v="0"/>
    <n v="12880"/>
  </r>
  <r>
    <x v="137"/>
    <d v="2026-01-13T00:00:00"/>
    <d v="2026-01-13T00:00:00"/>
    <d v="1899-12-30T16:00:00"/>
    <d v="1899-12-30T17:00:00"/>
    <x v="1"/>
    <s v="OP138"/>
    <s v="Mato Grosso do Sul"/>
    <s v="PROD_A"/>
    <s v="Componente Alfa"/>
    <x v="0"/>
    <s v="LINHA01"/>
    <n v="100"/>
    <n v="36"/>
    <n v="60"/>
    <n v="7"/>
    <x v="0"/>
    <n v="99"/>
    <n v="97"/>
    <n v="2"/>
    <s v="OP203"/>
    <s v="Jorge"/>
    <n v="50"/>
    <x v="14"/>
    <n v="53"/>
    <n v="0.88333333333333297"/>
    <n v="1.1207547169811301"/>
    <n v="0.97979797979798"/>
    <n v="0.96999999999999797"/>
    <x v="27"/>
    <n v="4850"/>
    <n v="683.33330000000001"/>
  </r>
  <r>
    <x v="138"/>
    <d v="2026-01-13T00:00:00"/>
    <d v="2026-01-13T00:00:00"/>
    <d v="1899-12-30T17:00:00"/>
    <d v="1899-12-30T18:00:00"/>
    <x v="1"/>
    <s v="OP139"/>
    <s v="Bahia"/>
    <s v="PROD_A"/>
    <s v="Componente Alfa"/>
    <x v="0"/>
    <s v="LINHA01"/>
    <n v="100"/>
    <n v="36"/>
    <n v="60"/>
    <n v="0"/>
    <x v="1"/>
    <n v="103"/>
    <n v="102"/>
    <n v="1"/>
    <s v="OP301"/>
    <s v="Luis"/>
    <n v="50"/>
    <x v="1"/>
    <n v="60"/>
    <n v="1"/>
    <n v="1.03"/>
    <n v="0.990291262135922"/>
    <n v="1.02"/>
    <x v="1"/>
    <n v="5100"/>
    <n v="50"/>
  </r>
  <r>
    <x v="139"/>
    <d v="2026-01-13T00:00:00"/>
    <d v="2026-01-13T00:00:00"/>
    <d v="1899-12-30T17:00:00"/>
    <d v="1899-12-30T18:00:00"/>
    <x v="1"/>
    <s v="OP140"/>
    <s v="Mato Grosso do Sul"/>
    <s v="PROD_A"/>
    <s v="Componente Alfa"/>
    <x v="0"/>
    <s v="LINHA01"/>
    <n v="100"/>
    <n v="36"/>
    <n v="60"/>
    <n v="4"/>
    <x v="6"/>
    <n v="90"/>
    <n v="90"/>
    <n v="0"/>
    <s v="OP301"/>
    <s v="Luis"/>
    <n v="50"/>
    <x v="4"/>
    <n v="56"/>
    <n v="0.93333333333333302"/>
    <n v="0.96428571428571397"/>
    <n v="1"/>
    <n v="0.89999999999999902"/>
    <x v="7"/>
    <n v="4500"/>
    <n v="333.33330000000001"/>
  </r>
  <r>
    <x v="140"/>
    <d v="2026-01-14T00:00:00"/>
    <d v="2026-01-14T00:00:00"/>
    <d v="1899-12-30T07:00:00"/>
    <d v="1899-12-30T08:00:00"/>
    <x v="0"/>
    <s v="OP141"/>
    <s v="Parana"/>
    <s v="PROD_B"/>
    <s v="Peca Beta"/>
    <x v="1"/>
    <s v="LINHA01"/>
    <n v="120"/>
    <n v="30"/>
    <n v="60"/>
    <n v="0"/>
    <x v="1"/>
    <n v="114"/>
    <n v="110"/>
    <n v="4"/>
    <s v="OP101"/>
    <s v="Paulo"/>
    <n v="80"/>
    <x v="8"/>
    <n v="60"/>
    <n v="1"/>
    <n v="0.95"/>
    <n v="0.96491228070175405"/>
    <n v="0.91666666666666596"/>
    <x v="1"/>
    <n v="8800"/>
    <n v="320"/>
  </r>
  <r>
    <x v="141"/>
    <d v="2026-01-14T00:00:00"/>
    <d v="2026-01-14T00:00:00"/>
    <d v="1899-12-30T08:00:00"/>
    <d v="1899-12-30T09:00:00"/>
    <x v="0"/>
    <s v="OP142"/>
    <s v="Bahia"/>
    <s v="PROD_B"/>
    <s v="Peca Beta"/>
    <x v="1"/>
    <s v="LINHA01"/>
    <n v="120"/>
    <n v="30"/>
    <n v="60"/>
    <n v="14"/>
    <x v="7"/>
    <n v="0"/>
    <n v="0"/>
    <n v="0"/>
    <s v="OP102"/>
    <s v="Davi"/>
    <n v="80"/>
    <x v="4"/>
    <n v="46"/>
    <n v="0.76666666666666705"/>
    <n v="0"/>
    <n v="0"/>
    <n v="0"/>
    <x v="11"/>
    <n v="0"/>
    <n v="2240"/>
  </r>
  <r>
    <x v="142"/>
    <d v="2026-01-14T00:00:00"/>
    <d v="2026-01-14T00:00:00"/>
    <d v="1899-12-30T09:00:00"/>
    <d v="1899-12-30T10:00:00"/>
    <x v="0"/>
    <s v="OP143"/>
    <s v="Para"/>
    <s v="PROD_B"/>
    <s v="Peca Beta"/>
    <x v="1"/>
    <s v="LINHA01"/>
    <n v="120"/>
    <n v="30"/>
    <n v="60"/>
    <n v="1"/>
    <x v="8"/>
    <n v="118"/>
    <n v="117"/>
    <n v="1"/>
    <s v="OP102"/>
    <s v="Davi"/>
    <n v="80"/>
    <x v="30"/>
    <n v="59"/>
    <n v="0.98333333333333295"/>
    <n v="1"/>
    <n v="0.99152542372881403"/>
    <n v="0.97499999999999998"/>
    <x v="14"/>
    <n v="9360"/>
    <n v="240"/>
  </r>
  <r>
    <x v="143"/>
    <d v="2026-01-14T00:00:00"/>
    <d v="2026-01-14T00:00:00"/>
    <d v="1899-12-30T10:00:00"/>
    <d v="1899-12-30T11:00:00"/>
    <x v="0"/>
    <s v="OP144"/>
    <s v="Minas Gerais"/>
    <s v="PROD_C"/>
    <s v="Conjunto Gama"/>
    <x v="2"/>
    <s v="LINHA02"/>
    <n v="80"/>
    <n v="45"/>
    <n v="60"/>
    <n v="0"/>
    <x v="1"/>
    <n v="78"/>
    <n v="65"/>
    <n v="13"/>
    <s v="OP103"/>
    <s v="Joao"/>
    <n v="120"/>
    <x v="33"/>
    <n v="60"/>
    <n v="1"/>
    <n v="0.97499999999999998"/>
    <n v="0.83333333333333404"/>
    <n v="0.812500000000001"/>
    <x v="1"/>
    <n v="7800"/>
    <n v="1560"/>
  </r>
  <r>
    <x v="144"/>
    <d v="2026-01-14T00:00:00"/>
    <d v="2026-01-14T00:00:00"/>
    <d v="1899-12-30T11:00:00"/>
    <d v="1899-12-30T12:00:00"/>
    <x v="0"/>
    <s v="OP145"/>
    <s v="Piaui"/>
    <s v="PROD_C"/>
    <s v="Conjunto Gama"/>
    <x v="2"/>
    <s v="LINHA02"/>
    <n v="80"/>
    <n v="45"/>
    <n v="60"/>
    <n v="17"/>
    <x v="9"/>
    <n v="70"/>
    <n v="70"/>
    <n v="0"/>
    <s v="OP104"/>
    <s v="Anna"/>
    <n v="120"/>
    <x v="4"/>
    <n v="43"/>
    <n v="0.71666666666666701"/>
    <n v="1.2209302325581399"/>
    <n v="1"/>
    <n v="0.875000000000001"/>
    <x v="23"/>
    <n v="8400"/>
    <n v="2720"/>
  </r>
  <r>
    <x v="145"/>
    <d v="2026-01-14T00:00:00"/>
    <d v="2026-01-14T00:00:00"/>
    <d v="1899-12-30T12:00:00"/>
    <d v="1899-12-30T13:00:00"/>
    <x v="1"/>
    <s v="OP146"/>
    <s v="Para"/>
    <s v="PROD_A"/>
    <s v="Componente Alfa"/>
    <x v="0"/>
    <s v="LINHA01"/>
    <n v="100"/>
    <n v="36"/>
    <n v="60"/>
    <n v="0"/>
    <x v="1"/>
    <n v="110"/>
    <n v="108"/>
    <n v="2"/>
    <s v="OP201"/>
    <s v="Lucia"/>
    <n v="50"/>
    <x v="14"/>
    <n v="60"/>
    <n v="1"/>
    <n v="1.1000000000000001"/>
    <n v="0.98181818181818203"/>
    <n v="1.08"/>
    <x v="1"/>
    <n v="5400"/>
    <n v="100"/>
  </r>
  <r>
    <x v="146"/>
    <d v="2026-01-14T00:00:00"/>
    <d v="2026-01-14T00:00:00"/>
    <d v="1899-12-30T13:00:00"/>
    <d v="1899-12-30T14:00:00"/>
    <x v="1"/>
    <s v="OP147"/>
    <s v="Parana"/>
    <s v="PROD_A"/>
    <s v="Componente Alfa"/>
    <x v="0"/>
    <s v="LINHA01"/>
    <n v="100"/>
    <n v="36"/>
    <n v="60"/>
    <n v="8"/>
    <x v="10"/>
    <n v="95"/>
    <n v="95"/>
    <n v="0"/>
    <s v="OP202"/>
    <s v="Mariana"/>
    <n v="50"/>
    <x v="4"/>
    <n v="52"/>
    <n v="0.86666666666666703"/>
    <n v="1.09615384615385"/>
    <n v="1"/>
    <n v="0.95000000000000395"/>
    <x v="25"/>
    <n v="4750"/>
    <n v="666.66669999999999"/>
  </r>
  <r>
    <x v="147"/>
    <d v="2026-01-14T00:00:00"/>
    <d v="2026-01-14T00:00:00"/>
    <d v="1899-12-30T14:00:00"/>
    <d v="1899-12-30T15:00:00"/>
    <x v="1"/>
    <s v="OP148"/>
    <s v="Para"/>
    <s v="PROD_B"/>
    <s v="Peca Beta"/>
    <x v="1"/>
    <s v="LINHA01"/>
    <n v="120"/>
    <n v="30"/>
    <n v="60"/>
    <n v="0"/>
    <x v="1"/>
    <n v="117"/>
    <n v="111"/>
    <n v="6"/>
    <s v="OP203"/>
    <s v="Jorge"/>
    <n v="80"/>
    <x v="24"/>
    <n v="60"/>
    <n v="1"/>
    <n v="0.97499999999999998"/>
    <n v="0.94871794871794901"/>
    <n v="0.92500000000000004"/>
    <x v="1"/>
    <n v="8880"/>
    <n v="480"/>
  </r>
  <r>
    <x v="148"/>
    <d v="2026-01-14T00:00:00"/>
    <d v="2026-01-14T00:00:00"/>
    <d v="1899-12-30T15:00:00"/>
    <d v="1899-12-30T16:00:00"/>
    <x v="1"/>
    <s v="OP149"/>
    <s v="Mato Grosso do Sul"/>
    <s v="PROD_B"/>
    <s v="Peca Beta"/>
    <x v="1"/>
    <s v="LINHA01"/>
    <n v="120"/>
    <n v="30"/>
    <n v="60"/>
    <n v="11"/>
    <x v="11"/>
    <n v="85"/>
    <n v="72"/>
    <n v="13"/>
    <s v="OP201"/>
    <s v="Lucia"/>
    <n v="80"/>
    <x v="34"/>
    <n v="49"/>
    <n v="0.81666666666666698"/>
    <n v="0.86734693877550995"/>
    <n v="0.84705882352941197"/>
    <n v="0.6"/>
    <x v="19"/>
    <n v="5760"/>
    <n v="2800"/>
  </r>
  <r>
    <x v="149"/>
    <d v="2026-01-14T00:00:00"/>
    <d v="2026-01-14T00:00:00"/>
    <d v="1899-12-30T17:00:00"/>
    <d v="1899-12-30T18:00:00"/>
    <x v="2"/>
    <s v="OP150"/>
    <s v="Minas Gerais"/>
    <s v="PROD_C"/>
    <s v="Conjunto Gama"/>
    <x v="2"/>
    <s v="LINHA02"/>
    <n v="80"/>
    <n v="45"/>
    <n v="60"/>
    <n v="0"/>
    <x v="1"/>
    <n v="83"/>
    <n v="83"/>
    <n v="0"/>
    <s v="OP302"/>
    <s v="Jose"/>
    <n v="120"/>
    <x v="4"/>
    <n v="60"/>
    <n v="1"/>
    <n v="1.0375000000000001"/>
    <n v="1"/>
    <n v="1.0375000000000001"/>
    <x v="1"/>
    <n v="9960"/>
    <n v="0"/>
  </r>
  <r>
    <x v="150"/>
    <d v="2026-01-14T00:00:00"/>
    <d v="2026-01-14T00:00:00"/>
    <d v="1899-12-30T18:00:00"/>
    <d v="1899-12-30T19:00:00"/>
    <x v="2"/>
    <s v="OP151"/>
    <s v="Piaui"/>
    <s v="PROD_C"/>
    <s v="Conjunto Gama"/>
    <x v="2"/>
    <s v="LINHA02"/>
    <n v="80"/>
    <n v="45"/>
    <n v="60"/>
    <n v="23"/>
    <x v="12"/>
    <n v="62"/>
    <n v="31"/>
    <n v="31"/>
    <s v="OP302"/>
    <s v="Jose"/>
    <n v="120"/>
    <x v="35"/>
    <n v="37"/>
    <n v="0.61666666666666703"/>
    <n v="1.2567567567567599"/>
    <n v="0.5"/>
    <n v="0.38750000000000101"/>
    <x v="40"/>
    <n v="3720"/>
    <n v="7400"/>
  </r>
  <r>
    <x v="151"/>
    <d v="2026-01-15T00:00:00"/>
    <d v="2026-01-15T00:00:00"/>
    <d v="1899-12-30T07:00:00"/>
    <d v="1899-12-30T08:00:00"/>
    <x v="0"/>
    <s v="OP152"/>
    <s v="Para"/>
    <s v="PROD_A"/>
    <s v="Componente Alfa"/>
    <x v="0"/>
    <s v="LINHA01"/>
    <n v="100"/>
    <n v="36"/>
    <n v="60"/>
    <n v="4"/>
    <x v="13"/>
    <n v="85"/>
    <n v="82"/>
    <n v="3"/>
    <s v="OP101"/>
    <s v="Paulo"/>
    <n v="50"/>
    <x v="0"/>
    <n v="56"/>
    <n v="0.93333333333333302"/>
    <n v="0.91071428571428603"/>
    <n v="0.96470588235294097"/>
    <n v="0.82"/>
    <x v="7"/>
    <n v="4100"/>
    <n v="483.33330000000001"/>
  </r>
  <r>
    <x v="152"/>
    <d v="2026-01-15T00:00:00"/>
    <d v="2026-01-15T00:00:00"/>
    <d v="1899-12-30T08:00:00"/>
    <d v="1899-12-30T09:00:00"/>
    <x v="0"/>
    <s v="OP153"/>
    <s v="Minas Gerais"/>
    <s v="PROD_A"/>
    <s v="Componente Alfa"/>
    <x v="0"/>
    <s v="LINHA01"/>
    <n v="100"/>
    <n v="36"/>
    <n v="60"/>
    <n v="0"/>
    <x v="1"/>
    <n v="97"/>
    <n v="97"/>
    <n v="0"/>
    <s v="OP101"/>
    <s v="Paulo"/>
    <n v="50"/>
    <x v="4"/>
    <n v="60"/>
    <n v="1"/>
    <n v="0.97"/>
    <n v="1"/>
    <n v="0.97"/>
    <x v="1"/>
    <n v="4850"/>
    <n v="0"/>
  </r>
  <r>
    <x v="153"/>
    <d v="2026-01-15T00:00:00"/>
    <d v="2026-01-15T00:00:00"/>
    <d v="1899-12-30T09:00:00"/>
    <d v="1899-12-30T10:00:00"/>
    <x v="0"/>
    <s v="OP154"/>
    <s v="Sao Paulo"/>
    <s v="PROD_A"/>
    <s v="Componente Alfa"/>
    <x v="0"/>
    <s v="LINHA01"/>
    <n v="100"/>
    <n v="36"/>
    <n v="60"/>
    <n v="7"/>
    <x v="0"/>
    <n v="95"/>
    <n v="92"/>
    <n v="3"/>
    <s v="OP101"/>
    <s v="Paulo"/>
    <n v="50"/>
    <x v="0"/>
    <n v="53"/>
    <n v="0.88333333333333297"/>
    <n v="1.07547169811321"/>
    <n v="0.96842105263157896"/>
    <n v="0.92000000000000204"/>
    <x v="27"/>
    <n v="4600"/>
    <n v="733.33330000000001"/>
  </r>
  <r>
    <x v="154"/>
    <d v="2026-01-15T00:00:00"/>
    <d v="2026-01-15T00:00:00"/>
    <d v="1899-12-30T10:00:00"/>
    <d v="1899-12-30T11:00:00"/>
    <x v="0"/>
    <s v="OP155"/>
    <s v="Para"/>
    <s v="PROD_A"/>
    <s v="Componente Alfa"/>
    <x v="0"/>
    <s v="LINHA01"/>
    <n v="100"/>
    <n v="36"/>
    <n v="60"/>
    <n v="13"/>
    <x v="2"/>
    <n v="82"/>
    <n v="77"/>
    <n v="5"/>
    <s v="OP102"/>
    <s v="Davi"/>
    <n v="50"/>
    <x v="21"/>
    <n v="47"/>
    <n v="0.78333333333333299"/>
    <n v="1.0468085106383"/>
    <n v="0.93902439024390205"/>
    <n v="0.77000000000000102"/>
    <x v="41"/>
    <n v="3850"/>
    <n v="1333.3333"/>
  </r>
  <r>
    <x v="155"/>
    <d v="2026-01-15T00:00:00"/>
    <d v="2026-01-15T00:00:00"/>
    <d v="1899-12-30T11:00:00"/>
    <d v="1899-12-30T12:00:00"/>
    <x v="0"/>
    <s v="OP156"/>
    <s v="Sao Paulo"/>
    <s v="PROD_B"/>
    <s v="Peca Beta"/>
    <x v="1"/>
    <s v="LINHA01"/>
    <n v="120"/>
    <n v="30"/>
    <n v="60"/>
    <n v="1"/>
    <x v="3"/>
    <n v="107"/>
    <n v="102"/>
    <n v="5"/>
    <s v="OP103"/>
    <s v="Joao"/>
    <n v="80"/>
    <x v="3"/>
    <n v="59"/>
    <n v="0.98333333333333295"/>
    <n v="0.90677966101694896"/>
    <n v="0.95327102803738295"/>
    <n v="0.84999999999999898"/>
    <x v="14"/>
    <n v="8160"/>
    <n v="560"/>
  </r>
  <r>
    <x v="156"/>
    <d v="2026-01-15T00:00:00"/>
    <d v="2026-01-15T00:00:00"/>
    <d v="1899-12-30T12:00:00"/>
    <d v="1899-12-30T13:00:00"/>
    <x v="1"/>
    <s v="OP157"/>
    <s v="Parana"/>
    <s v="PROD_C"/>
    <s v="Conjunto Gama"/>
    <x v="2"/>
    <s v="LINHA02"/>
    <n v="80"/>
    <n v="45"/>
    <n v="60"/>
    <n v="6"/>
    <x v="0"/>
    <n v="78"/>
    <n v="78"/>
    <n v="0"/>
    <s v="OP201"/>
    <s v="Lucia"/>
    <n v="120"/>
    <x v="4"/>
    <n v="54"/>
    <n v="0.9"/>
    <n v="1.0833333333333299"/>
    <n v="1"/>
    <n v="0.97499999999999698"/>
    <x v="8"/>
    <n v="9360"/>
    <n v="960"/>
  </r>
  <r>
    <x v="157"/>
    <d v="2026-01-15T00:00:00"/>
    <d v="2026-01-15T00:00:00"/>
    <d v="1899-12-30T13:00:00"/>
    <d v="1899-12-30T14:00:00"/>
    <x v="1"/>
    <s v="OP158"/>
    <s v="Bahia"/>
    <s v="PROD_C"/>
    <s v="Conjunto Gama"/>
    <x v="2"/>
    <s v="LINHA02"/>
    <n v="80"/>
    <n v="45"/>
    <n v="60"/>
    <n v="29"/>
    <x v="5"/>
    <n v="50"/>
    <n v="0"/>
    <n v="50"/>
    <s v="OP202"/>
    <s v="Mariana"/>
    <n v="120"/>
    <x v="36"/>
    <n v="31"/>
    <n v="0.51666666666666705"/>
    <n v="1.2096774193548401"/>
    <n v="0"/>
    <n v="0"/>
    <x v="29"/>
    <n v="0"/>
    <n v="10640"/>
  </r>
  <r>
    <x v="158"/>
    <d v="2026-01-15T00:00:00"/>
    <d v="2026-01-15T00:00:00"/>
    <d v="1899-12-30T14:00:00"/>
    <d v="1899-12-30T15:00:00"/>
    <x v="1"/>
    <s v="OP159"/>
    <s v="Mato Grosso do Sul"/>
    <s v="PROD_A"/>
    <s v="Componente Alfa"/>
    <x v="0"/>
    <s v="LINHA01"/>
    <n v="100"/>
    <n v="36"/>
    <n v="60"/>
    <n v="8"/>
    <x v="0"/>
    <n v="87"/>
    <n v="84"/>
    <n v="3"/>
    <s v="OP203"/>
    <s v="Jorge"/>
    <n v="50"/>
    <x v="0"/>
    <n v="52"/>
    <n v="0.86666666666666703"/>
    <n v="1.0038461538461501"/>
    <n v="0.96551724137931005"/>
    <n v="0.83999999999999697"/>
    <x v="25"/>
    <n v="4200"/>
    <n v="816.66669999999999"/>
  </r>
  <r>
    <x v="159"/>
    <d v="2026-01-15T00:00:00"/>
    <d v="2026-01-15T00:00:00"/>
    <d v="1899-12-30T15:00:00"/>
    <d v="1899-12-30T16:00:00"/>
    <x v="1"/>
    <s v="OP160"/>
    <s v="Goias"/>
    <s v="PROD_A"/>
    <s v="Componente Alfa"/>
    <x v="0"/>
    <s v="LINHA01"/>
    <n v="100"/>
    <n v="36"/>
    <n v="60"/>
    <n v="3"/>
    <x v="6"/>
    <n v="93"/>
    <n v="93"/>
    <n v="0"/>
    <s v="OP301"/>
    <s v="Luis"/>
    <n v="50"/>
    <x v="4"/>
    <n v="57"/>
    <n v="0.95"/>
    <n v="0.97894736842105201"/>
    <n v="1"/>
    <n v="0.92999999999999905"/>
    <x v="17"/>
    <n v="4650"/>
    <n v="250"/>
  </r>
  <r>
    <x v="160"/>
    <d v="2026-01-16T00:00:00"/>
    <d v="2026-01-16T00:00:00"/>
    <d v="1899-12-30T07:00:00"/>
    <d v="1899-12-30T08:00:00"/>
    <x v="0"/>
    <s v="OP161"/>
    <s v="Mato Grosso do Sul"/>
    <s v="PROD_A"/>
    <s v="Componente Alfa"/>
    <x v="0"/>
    <s v="LINHA01"/>
    <n v="100"/>
    <n v="36"/>
    <n v="60"/>
    <n v="9"/>
    <x v="0"/>
    <n v="95"/>
    <n v="93"/>
    <n v="2"/>
    <s v="OP101"/>
    <s v="Paulo"/>
    <n v="50"/>
    <x v="14"/>
    <n v="51"/>
    <n v="0.85"/>
    <n v="1.1176470588235301"/>
    <n v="0.97894736842105301"/>
    <n v="0.93000000000000105"/>
    <x v="0"/>
    <n v="4650"/>
    <n v="850"/>
  </r>
  <r>
    <x v="161"/>
    <d v="2026-01-16T00:00:00"/>
    <d v="2026-01-16T00:00:00"/>
    <d v="1899-12-30T08:00:00"/>
    <d v="1899-12-30T09:00:00"/>
    <x v="0"/>
    <s v="OP162"/>
    <s v="Goias"/>
    <s v="PROD_A"/>
    <s v="Componente Alfa"/>
    <x v="0"/>
    <s v="LINHA01"/>
    <n v="100"/>
    <n v="36"/>
    <n v="60"/>
    <n v="0"/>
    <x v="1"/>
    <n v="99"/>
    <n v="98"/>
    <n v="1"/>
    <s v="OP101"/>
    <s v="Paulo"/>
    <n v="50"/>
    <x v="1"/>
    <n v="60"/>
    <n v="1"/>
    <n v="0.99"/>
    <n v="0.98989898989898994"/>
    <n v="0.98"/>
    <x v="1"/>
    <n v="4900"/>
    <n v="50"/>
  </r>
  <r>
    <x v="162"/>
    <d v="2026-01-16T00:00:00"/>
    <d v="2026-01-16T00:00:00"/>
    <d v="1899-12-30T09:00:00"/>
    <d v="1899-12-30T10:00:00"/>
    <x v="0"/>
    <s v="OP163"/>
    <s v="Para"/>
    <s v="PROD_A"/>
    <s v="Componente Alfa"/>
    <x v="0"/>
    <s v="LINHA01"/>
    <n v="100"/>
    <n v="36"/>
    <n v="60"/>
    <n v="15"/>
    <x v="2"/>
    <n v="69"/>
    <n v="63"/>
    <n v="6"/>
    <s v="OP102"/>
    <s v="Davi"/>
    <n v="50"/>
    <x v="15"/>
    <n v="45"/>
    <n v="0.75"/>
    <n v="0.92"/>
    <n v="0.91304347826086996"/>
    <n v="0.63"/>
    <x v="42"/>
    <n v="3150"/>
    <n v="1550"/>
  </r>
  <r>
    <x v="163"/>
    <d v="2026-01-16T00:00:00"/>
    <d v="2026-01-16T00:00:00"/>
    <d v="1899-12-30T10:00:00"/>
    <d v="1899-12-30T11:00:00"/>
    <x v="0"/>
    <s v="OP164"/>
    <s v="Goias"/>
    <s v="PROD_B"/>
    <s v="Peca Beta"/>
    <x v="1"/>
    <s v="LINHA01"/>
    <n v="120"/>
    <n v="30"/>
    <n v="60"/>
    <n v="1"/>
    <x v="3"/>
    <n v="120"/>
    <n v="117"/>
    <n v="3"/>
    <s v="OP103"/>
    <s v="Joao"/>
    <n v="80"/>
    <x v="10"/>
    <n v="59"/>
    <n v="0.98333333333333295"/>
    <n v="1.0169491525423699"/>
    <n v="0.97499999999999998"/>
    <n v="0.97499999999999698"/>
    <x v="14"/>
    <n v="9360"/>
    <n v="400"/>
  </r>
  <r>
    <x v="164"/>
    <d v="2026-01-16T00:00:00"/>
    <d v="2026-01-16T00:00:00"/>
    <d v="1899-12-30T11:00:00"/>
    <d v="1899-12-30T12:00:00"/>
    <x v="0"/>
    <s v="OP165"/>
    <s v="Parana"/>
    <s v="PROD_B"/>
    <s v="Peca Beta"/>
    <x v="1"/>
    <s v="LINHA01"/>
    <n v="120"/>
    <n v="30"/>
    <n v="60"/>
    <n v="0"/>
    <x v="1"/>
    <n v="106"/>
    <n v="106"/>
    <n v="0"/>
    <s v="OP103"/>
    <s v="Joao"/>
    <n v="80"/>
    <x v="4"/>
    <n v="60"/>
    <n v="1"/>
    <n v="0.88333333333333297"/>
    <n v="1"/>
    <n v="0.88333333333333297"/>
    <x v="1"/>
    <n v="8480"/>
    <n v="0"/>
  </r>
  <r>
    <x v="165"/>
    <d v="2026-01-16T00:00:00"/>
    <d v="2026-01-16T00:00:00"/>
    <d v="1899-12-30T12:00:00"/>
    <d v="1899-12-30T13:00:00"/>
    <x v="0"/>
    <s v="OP166"/>
    <s v="Piaui"/>
    <s v="PROD_B"/>
    <s v="Peca Beta"/>
    <x v="1"/>
    <s v="LINHA01"/>
    <n v="120"/>
    <n v="30"/>
    <n v="60"/>
    <n v="6"/>
    <x v="4"/>
    <n v="88"/>
    <n v="82"/>
    <n v="6"/>
    <s v="OP104"/>
    <s v="Anna"/>
    <n v="80"/>
    <x v="24"/>
    <n v="54"/>
    <n v="0.9"/>
    <n v="0.81481481481481499"/>
    <n v="0.93181818181818199"/>
    <n v="0.68333333333333401"/>
    <x v="8"/>
    <n v="6560"/>
    <n v="1440"/>
  </r>
  <r>
    <x v="166"/>
    <d v="2026-01-16T00:00:00"/>
    <d v="2026-01-16T00:00:00"/>
    <d v="1899-12-30T13:00:00"/>
    <d v="1899-12-30T14:00:00"/>
    <x v="1"/>
    <s v="OP167"/>
    <s v="Minas Gerais"/>
    <s v="PROD_C"/>
    <s v="Conjunto Gama"/>
    <x v="2"/>
    <s v="LINHA02"/>
    <n v="80"/>
    <n v="45"/>
    <n v="60"/>
    <n v="6"/>
    <x v="0"/>
    <n v="81"/>
    <n v="81"/>
    <n v="0"/>
    <s v="OP201"/>
    <s v="Lucia"/>
    <n v="120"/>
    <x v="4"/>
    <n v="54"/>
    <n v="0.9"/>
    <n v="1.125"/>
    <n v="1"/>
    <n v="1.0125"/>
    <x v="8"/>
    <n v="9720"/>
    <n v="960"/>
  </r>
  <r>
    <x v="167"/>
    <d v="2026-01-16T00:00:00"/>
    <d v="2026-01-16T00:00:00"/>
    <d v="1899-12-30T14:00:00"/>
    <d v="1899-12-30T15:00:00"/>
    <x v="1"/>
    <s v="OP168"/>
    <s v="Bahia"/>
    <s v="PROD_C"/>
    <s v="Conjunto Gama"/>
    <x v="2"/>
    <s v="LINHA02"/>
    <n v="80"/>
    <n v="45"/>
    <n v="60"/>
    <n v="0"/>
    <x v="1"/>
    <n v="81"/>
    <n v="75"/>
    <n v="6"/>
    <s v="OP201"/>
    <s v="Lucia"/>
    <n v="120"/>
    <x v="31"/>
    <n v="60"/>
    <n v="1"/>
    <n v="1.0125"/>
    <n v="0.92592592592592604"/>
    <n v="0.9375"/>
    <x v="1"/>
    <n v="9000"/>
    <n v="720"/>
  </r>
  <r>
    <x v="168"/>
    <d v="2026-01-16T00:00:00"/>
    <d v="2026-01-16T00:00:00"/>
    <d v="1899-12-30T15:00:00"/>
    <d v="1899-12-30T16:00:00"/>
    <x v="1"/>
    <s v="OP169"/>
    <s v="Bahia"/>
    <s v="PROD_C"/>
    <s v="Conjunto Gama"/>
    <x v="2"/>
    <s v="LINHA02"/>
    <n v="80"/>
    <n v="45"/>
    <n v="60"/>
    <n v="32"/>
    <x v="5"/>
    <n v="45"/>
    <n v="0"/>
    <n v="45"/>
    <s v="OP202"/>
    <s v="Mariana"/>
    <n v="120"/>
    <x v="37"/>
    <n v="28"/>
    <n v="0.46666666666666701"/>
    <n v="1.2053571428571399"/>
    <n v="0"/>
    <n v="0"/>
    <x v="31"/>
    <n v="0"/>
    <n v="10520"/>
  </r>
  <r>
    <x v="169"/>
    <d v="2026-01-16T00:00:00"/>
    <d v="2026-01-16T00:00:00"/>
    <d v="1899-12-30T16:00:00"/>
    <d v="1899-12-30T17:00:00"/>
    <x v="1"/>
    <s v="OP170"/>
    <s v="Minas Gerais"/>
    <s v="PROD_A"/>
    <s v="Componente Alfa"/>
    <x v="0"/>
    <s v="LINHA01"/>
    <n v="100"/>
    <n v="36"/>
    <n v="60"/>
    <n v="8"/>
    <x v="0"/>
    <n v="98"/>
    <n v="96"/>
    <n v="2"/>
    <s v="OP203"/>
    <s v="Jorge"/>
    <n v="50"/>
    <x v="14"/>
    <n v="52"/>
    <n v="0.86666666666666703"/>
    <n v="1.1307692307692301"/>
    <n v="0.97959183673469397"/>
    <n v="0.96"/>
    <x v="25"/>
    <n v="4800"/>
    <n v="766.66669999999999"/>
  </r>
  <r>
    <x v="170"/>
    <d v="2026-01-16T00:00:00"/>
    <d v="2026-01-16T00:00:00"/>
    <d v="1899-12-30T17:00:00"/>
    <d v="1899-12-30T18:00:00"/>
    <x v="1"/>
    <s v="OP171"/>
    <s v="Sao Paulo"/>
    <s v="PROD_A"/>
    <s v="Componente Alfa"/>
    <x v="0"/>
    <s v="LINHA01"/>
    <n v="100"/>
    <n v="36"/>
    <n v="60"/>
    <n v="0"/>
    <x v="1"/>
    <n v="101"/>
    <n v="100"/>
    <n v="1"/>
    <s v="OP301"/>
    <s v="Luis"/>
    <n v="50"/>
    <x v="1"/>
    <n v="60"/>
    <n v="1"/>
    <n v="1.01"/>
    <n v="0.99009900990098998"/>
    <n v="1"/>
    <x v="1"/>
    <n v="5000"/>
    <n v="50"/>
  </r>
  <r>
    <x v="171"/>
    <d v="2026-01-16T00:00:00"/>
    <d v="2026-01-16T00:00:00"/>
    <d v="1899-12-30T17:00:00"/>
    <d v="1899-12-30T18:00:00"/>
    <x v="1"/>
    <s v="OP172"/>
    <s v="Rio de Janeiro"/>
    <s v="PROD_A"/>
    <s v="Componente Alfa"/>
    <x v="0"/>
    <s v="LINHA01"/>
    <n v="100"/>
    <n v="36"/>
    <n v="60"/>
    <n v="3"/>
    <x v="6"/>
    <n v="87"/>
    <n v="87"/>
    <n v="0"/>
    <s v="OP301"/>
    <s v="Luis"/>
    <n v="50"/>
    <x v="4"/>
    <n v="57"/>
    <n v="0.95"/>
    <n v="0.91578947368421004"/>
    <n v="1"/>
    <n v="0.87"/>
    <x v="17"/>
    <n v="4350"/>
    <n v="250"/>
  </r>
  <r>
    <x v="172"/>
    <d v="2026-01-17T00:00:00"/>
    <d v="2026-01-17T00:00:00"/>
    <d v="1899-12-30T07:00:00"/>
    <d v="1899-12-30T08:00:00"/>
    <x v="0"/>
    <s v="OP173"/>
    <s v="Para"/>
    <s v="PROD_B"/>
    <s v="Peca Beta"/>
    <x v="1"/>
    <s v="LINHA01"/>
    <n v="120"/>
    <n v="30"/>
    <n v="60"/>
    <n v="0"/>
    <x v="1"/>
    <n v="128"/>
    <n v="124"/>
    <n v="4"/>
    <s v="OP101"/>
    <s v="Paulo"/>
    <n v="80"/>
    <x v="8"/>
    <n v="60"/>
    <n v="1"/>
    <n v="1.06666666666667"/>
    <n v="0.96875"/>
    <n v="1.0333333333333401"/>
    <x v="1"/>
    <n v="9920"/>
    <n v="320"/>
  </r>
  <r>
    <x v="173"/>
    <d v="2026-01-17T00:00:00"/>
    <d v="2026-01-17T00:00:00"/>
    <d v="1899-12-30T08:00:00"/>
    <d v="1899-12-30T09:00:00"/>
    <x v="0"/>
    <s v="OP174"/>
    <s v="Mato Grosso do Sul"/>
    <s v="PROD_B"/>
    <s v="Peca Beta"/>
    <x v="1"/>
    <s v="LINHA01"/>
    <n v="120"/>
    <n v="30"/>
    <n v="60"/>
    <n v="11"/>
    <x v="7"/>
    <n v="0"/>
    <n v="0"/>
    <n v="0"/>
    <s v="OP102"/>
    <s v="Davi"/>
    <n v="80"/>
    <x v="4"/>
    <n v="49"/>
    <n v="0.81666666666666698"/>
    <n v="0"/>
    <n v="0"/>
    <n v="0"/>
    <x v="19"/>
    <n v="0"/>
    <n v="1760"/>
  </r>
  <r>
    <x v="174"/>
    <d v="2026-01-17T00:00:00"/>
    <d v="2026-01-17T00:00:00"/>
    <d v="1899-12-30T09:00:00"/>
    <d v="1899-12-30T10:00:00"/>
    <x v="0"/>
    <s v="OP175"/>
    <s v="Parana"/>
    <s v="PROD_B"/>
    <s v="Peca Beta"/>
    <x v="1"/>
    <s v="LINHA01"/>
    <n v="120"/>
    <n v="30"/>
    <n v="60"/>
    <n v="3"/>
    <x v="8"/>
    <n v="99"/>
    <n v="95"/>
    <n v="4"/>
    <s v="OP102"/>
    <s v="Davi"/>
    <n v="80"/>
    <x v="8"/>
    <n v="57"/>
    <n v="0.95"/>
    <n v="0.86842105263157898"/>
    <n v="0.95959595959596"/>
    <n v="0.79166666666666696"/>
    <x v="9"/>
    <n v="7600"/>
    <n v="800"/>
  </r>
  <r>
    <x v="175"/>
    <d v="2026-01-17T00:00:00"/>
    <d v="2026-01-17T00:00:00"/>
    <d v="1899-12-30T10:00:00"/>
    <d v="1899-12-30T11:00:00"/>
    <x v="0"/>
    <s v="OP176"/>
    <s v="Piaui"/>
    <s v="PROD_C"/>
    <s v="Conjunto Gama"/>
    <x v="2"/>
    <s v="LINHA02"/>
    <n v="80"/>
    <n v="45"/>
    <n v="60"/>
    <n v="0"/>
    <x v="1"/>
    <n v="83"/>
    <n v="77"/>
    <n v="6"/>
    <s v="OP103"/>
    <s v="Joao"/>
    <n v="120"/>
    <x v="31"/>
    <n v="60"/>
    <n v="1"/>
    <n v="1.0375000000000001"/>
    <n v="0.92771084337349397"/>
    <n v="0.96250000000000002"/>
    <x v="1"/>
    <n v="9240"/>
    <n v="720"/>
  </r>
  <r>
    <x v="176"/>
    <d v="2026-01-17T00:00:00"/>
    <d v="2026-01-17T00:00:00"/>
    <d v="1899-12-30T11:00:00"/>
    <d v="1899-12-30T12:00:00"/>
    <x v="0"/>
    <s v="OP177"/>
    <s v="Sao Paulo"/>
    <s v="PROD_C"/>
    <s v="Conjunto Gama"/>
    <x v="2"/>
    <s v="LINHA02"/>
    <n v="80"/>
    <n v="45"/>
    <n v="60"/>
    <n v="20"/>
    <x v="9"/>
    <n v="67"/>
    <n v="67"/>
    <n v="0"/>
    <s v="OP104"/>
    <s v="Anna"/>
    <n v="120"/>
    <x v="4"/>
    <n v="40"/>
    <n v="0.66666666666666696"/>
    <n v="1.2562500000000001"/>
    <n v="1"/>
    <n v="0.83750000000000002"/>
    <x v="43"/>
    <n v="8040"/>
    <n v="3200"/>
  </r>
  <r>
    <x v="177"/>
    <d v="2026-01-17T00:00:00"/>
    <d v="2026-01-17T00:00:00"/>
    <d v="1899-12-30T12:00:00"/>
    <d v="1899-12-30T13:00:00"/>
    <x v="1"/>
    <s v="OP178"/>
    <s v="Rio de Janeiro"/>
    <s v="PROD_A"/>
    <s v="Componente Alfa"/>
    <x v="0"/>
    <s v="LINHA01"/>
    <n v="100"/>
    <n v="36"/>
    <n v="60"/>
    <n v="0"/>
    <x v="1"/>
    <n v="110"/>
    <n v="108"/>
    <n v="2"/>
    <s v="OP201"/>
    <s v="Lucia"/>
    <n v="50"/>
    <x v="14"/>
    <n v="60"/>
    <n v="1"/>
    <n v="1.1000000000000001"/>
    <n v="0.98181818181818203"/>
    <n v="1.08"/>
    <x v="1"/>
    <n v="5400"/>
    <n v="100"/>
  </r>
  <r>
    <x v="178"/>
    <d v="2026-01-17T00:00:00"/>
    <d v="2026-01-17T00:00:00"/>
    <d v="1899-12-30T13:00:00"/>
    <d v="1899-12-30T14:00:00"/>
    <x v="1"/>
    <s v="OP179"/>
    <s v="Minas Gerais"/>
    <s v="PROD_A"/>
    <s v="Componente Alfa"/>
    <x v="0"/>
    <s v="LINHA01"/>
    <n v="100"/>
    <n v="36"/>
    <n v="60"/>
    <n v="10"/>
    <x v="10"/>
    <n v="96"/>
    <n v="96"/>
    <n v="0"/>
    <s v="OP202"/>
    <s v="Mariana"/>
    <n v="50"/>
    <x v="4"/>
    <n v="50"/>
    <n v="0.83333333333333404"/>
    <n v="1.1519999999999999"/>
    <n v="1"/>
    <n v="0.96000000000000096"/>
    <x v="18"/>
    <n v="4800"/>
    <n v="833.33330000000001"/>
  </r>
  <r>
    <x v="179"/>
    <d v="2026-01-17T00:00:00"/>
    <d v="2026-01-17T00:00:00"/>
    <d v="1899-12-30T14:00:00"/>
    <d v="1899-12-30T15:00:00"/>
    <x v="1"/>
    <s v="OP180"/>
    <s v="Rio de Janeiro"/>
    <s v="PROD_B"/>
    <s v="Peca Beta"/>
    <x v="1"/>
    <s v="LINHA01"/>
    <n v="120"/>
    <n v="30"/>
    <n v="60"/>
    <n v="0"/>
    <x v="1"/>
    <n v="120"/>
    <n v="115"/>
    <n v="5"/>
    <s v="OP203"/>
    <s v="Jorge"/>
    <n v="80"/>
    <x v="3"/>
    <n v="60"/>
    <n v="1"/>
    <n v="1"/>
    <n v="0.95833333333333404"/>
    <n v="0.95833333333333404"/>
    <x v="1"/>
    <n v="9200"/>
    <n v="400"/>
  </r>
  <r>
    <x v="180"/>
    <d v="2026-01-17T00:00:00"/>
    <d v="2026-01-17T00:00:00"/>
    <d v="1899-12-30T15:00:00"/>
    <d v="1899-12-30T16:00:00"/>
    <x v="1"/>
    <s v="OP181"/>
    <s v="Parana"/>
    <s v="PROD_B"/>
    <s v="Peca Beta"/>
    <x v="1"/>
    <s v="LINHA01"/>
    <n v="120"/>
    <n v="30"/>
    <n v="60"/>
    <n v="20"/>
    <x v="11"/>
    <n v="82"/>
    <n v="69"/>
    <n v="13"/>
    <s v="OP201"/>
    <s v="Lucia"/>
    <n v="80"/>
    <x v="34"/>
    <n v="40"/>
    <n v="0.66666666666666696"/>
    <n v="1.0249999999999999"/>
    <n v="0.84146341463414598"/>
    <n v="0.57499999999999996"/>
    <x v="43"/>
    <n v="5520"/>
    <n v="4240"/>
  </r>
  <r>
    <x v="181"/>
    <d v="2026-01-17T00:00:00"/>
    <d v="2026-01-17T00:00:00"/>
    <d v="1899-12-30T17:00:00"/>
    <d v="1899-12-30T18:00:00"/>
    <x v="2"/>
    <s v="OP182"/>
    <s v="Bahia"/>
    <s v="PROD_C"/>
    <s v="Conjunto Gama"/>
    <x v="2"/>
    <s v="LINHA02"/>
    <n v="80"/>
    <n v="45"/>
    <n v="60"/>
    <n v="0"/>
    <x v="1"/>
    <n v="82"/>
    <n v="82"/>
    <n v="0"/>
    <s v="OP302"/>
    <s v="Jose"/>
    <n v="120"/>
    <x v="4"/>
    <n v="60"/>
    <n v="1"/>
    <n v="1.0249999999999999"/>
    <n v="1"/>
    <n v="1.0249999999999999"/>
    <x v="1"/>
    <n v="9840"/>
    <n v="0"/>
  </r>
  <r>
    <x v="182"/>
    <d v="2026-01-17T00:00:00"/>
    <d v="2026-01-17T00:00:00"/>
    <d v="1899-12-30T18:00:00"/>
    <d v="1899-12-30T19:00:00"/>
    <x v="2"/>
    <s v="OP183"/>
    <s v="Para"/>
    <s v="PROD_C"/>
    <s v="Conjunto Gama"/>
    <x v="2"/>
    <s v="LINHA02"/>
    <n v="80"/>
    <n v="45"/>
    <n v="60"/>
    <n v="17"/>
    <x v="12"/>
    <n v="56"/>
    <n v="0"/>
    <n v="56"/>
    <s v="OP302"/>
    <s v="Jose"/>
    <n v="120"/>
    <x v="38"/>
    <n v="43"/>
    <n v="0.71666666666666701"/>
    <n v="0.97674418604651203"/>
    <n v="0"/>
    <n v="0"/>
    <x v="23"/>
    <n v="0"/>
    <n v="9440"/>
  </r>
  <r>
    <x v="183"/>
    <d v="2026-01-18T00:00:00"/>
    <d v="2026-01-18T00:00:00"/>
    <d v="1899-12-30T07:00:00"/>
    <d v="1899-12-30T08:00:00"/>
    <x v="0"/>
    <s v="OP184"/>
    <s v="Mato Grosso do Sul"/>
    <s v="PROD_A"/>
    <s v="Componente Alfa"/>
    <x v="0"/>
    <s v="LINHA01"/>
    <n v="100"/>
    <n v="36"/>
    <n v="60"/>
    <n v="6"/>
    <x v="13"/>
    <n v="94"/>
    <n v="92"/>
    <n v="2"/>
    <s v="OP101"/>
    <s v="Paulo"/>
    <n v="50"/>
    <x v="14"/>
    <n v="54"/>
    <n v="0.9"/>
    <n v="1.0444444444444401"/>
    <n v="0.97872340425531901"/>
    <n v="0.91999999999999604"/>
    <x v="6"/>
    <n v="4600"/>
    <n v="600"/>
  </r>
  <r>
    <x v="184"/>
    <d v="2026-01-18T00:00:00"/>
    <d v="2026-01-18T00:00:00"/>
    <d v="1899-12-30T08:00:00"/>
    <d v="1899-12-30T09:00:00"/>
    <x v="0"/>
    <s v="OP185"/>
    <s v="Minas Gerais"/>
    <s v="PROD_A"/>
    <s v="Componente Alfa"/>
    <x v="0"/>
    <s v="LINHA01"/>
    <n v="100"/>
    <n v="36"/>
    <n v="60"/>
    <n v="0"/>
    <x v="1"/>
    <n v="108"/>
    <n v="108"/>
    <n v="0"/>
    <s v="OP101"/>
    <s v="Paulo"/>
    <n v="50"/>
    <x v="4"/>
    <n v="60"/>
    <n v="1"/>
    <n v="1.08"/>
    <n v="1"/>
    <n v="1.08"/>
    <x v="1"/>
    <n v="5400"/>
    <n v="0"/>
  </r>
  <r>
    <x v="185"/>
    <d v="2026-01-18T00:00:00"/>
    <d v="2026-01-18T00:00:00"/>
    <d v="1899-12-30T09:00:00"/>
    <d v="1899-12-30T10:00:00"/>
    <x v="0"/>
    <s v="OP186"/>
    <s v="Mato Grosso do Sul"/>
    <s v="PROD_A"/>
    <s v="Componente Alfa"/>
    <x v="0"/>
    <s v="LINHA01"/>
    <n v="100"/>
    <n v="36"/>
    <n v="60"/>
    <n v="6"/>
    <x v="0"/>
    <n v="93"/>
    <n v="90"/>
    <n v="3"/>
    <s v="OP101"/>
    <s v="Paulo"/>
    <n v="50"/>
    <x v="0"/>
    <n v="54"/>
    <n v="0.9"/>
    <n v="1.0333333333333301"/>
    <n v="0.967741935483871"/>
    <n v="0.89999999999999702"/>
    <x v="6"/>
    <n v="4500"/>
    <n v="650"/>
  </r>
  <r>
    <x v="186"/>
    <d v="2026-01-18T00:00:00"/>
    <d v="2026-01-18T00:00:00"/>
    <d v="1899-12-30T10:00:00"/>
    <d v="1899-12-30T11:00:00"/>
    <x v="0"/>
    <s v="OP187"/>
    <s v="Goias"/>
    <s v="PROD_A"/>
    <s v="Componente Alfa"/>
    <x v="0"/>
    <s v="LINHA01"/>
    <n v="100"/>
    <n v="36"/>
    <n v="60"/>
    <n v="14"/>
    <x v="2"/>
    <n v="75"/>
    <n v="70"/>
    <n v="5"/>
    <s v="OP102"/>
    <s v="Davi"/>
    <n v="50"/>
    <x v="21"/>
    <n v="46"/>
    <n v="0.76666666666666705"/>
    <n v="0.97826086956521696"/>
    <n v="0.93333333333333302"/>
    <n v="0.7"/>
    <x v="30"/>
    <n v="3500"/>
    <n v="1416.6667"/>
  </r>
  <r>
    <x v="187"/>
    <d v="2026-01-18T00:00:00"/>
    <d v="2026-01-18T00:00:00"/>
    <d v="1899-12-30T11:00:00"/>
    <d v="1899-12-30T12:00:00"/>
    <x v="0"/>
    <s v="OP188"/>
    <s v="Sao Paulo"/>
    <s v="PROD_B"/>
    <s v="Peca Beta"/>
    <x v="1"/>
    <s v="LINHA01"/>
    <n v="120"/>
    <n v="30"/>
    <n v="60"/>
    <n v="1"/>
    <x v="3"/>
    <n v="100"/>
    <n v="96"/>
    <n v="4"/>
    <s v="OP103"/>
    <s v="Joao"/>
    <n v="80"/>
    <x v="8"/>
    <n v="59"/>
    <n v="0.98333333333333295"/>
    <n v="0.84745762711864403"/>
    <n v="0.96"/>
    <n v="0.8"/>
    <x v="14"/>
    <n v="7680"/>
    <n v="480"/>
  </r>
  <r>
    <x v="188"/>
    <d v="2026-01-18T00:00:00"/>
    <d v="2026-01-18T00:00:00"/>
    <d v="1899-12-30T12:00:00"/>
    <d v="1899-12-30T13:00:00"/>
    <x v="1"/>
    <s v="OP189"/>
    <s v="Bahia"/>
    <s v="PROD_C"/>
    <s v="Conjunto Gama"/>
    <x v="2"/>
    <s v="LINHA02"/>
    <n v="80"/>
    <n v="45"/>
    <n v="60"/>
    <n v="7"/>
    <x v="0"/>
    <n v="77"/>
    <n v="77"/>
    <n v="0"/>
    <s v="OP201"/>
    <s v="Lucia"/>
    <n v="120"/>
    <x v="4"/>
    <n v="53"/>
    <n v="0.88333333333333297"/>
    <n v="1.0896226415094299"/>
    <n v="1"/>
    <n v="0.96249999999999603"/>
    <x v="36"/>
    <n v="9240"/>
    <n v="1120"/>
  </r>
  <r>
    <x v="189"/>
    <d v="2026-01-18T00:00:00"/>
    <d v="2026-01-18T00:00:00"/>
    <d v="1899-12-30T13:00:00"/>
    <d v="1899-12-30T14:00:00"/>
    <x v="1"/>
    <s v="OP190"/>
    <s v="Bahia"/>
    <s v="PROD_C"/>
    <s v="Conjunto Gama"/>
    <x v="2"/>
    <s v="LINHA02"/>
    <n v="80"/>
    <n v="45"/>
    <n v="60"/>
    <n v="49"/>
    <x v="5"/>
    <n v="50"/>
    <n v="37"/>
    <n v="13"/>
    <s v="OP202"/>
    <s v="Mariana"/>
    <n v="120"/>
    <x v="33"/>
    <n v="11"/>
    <n v="0.18333333333333299"/>
    <n v="3.4090909090909101"/>
    <n v="0.74"/>
    <n v="0.46249999999999902"/>
    <x v="44"/>
    <n v="4440"/>
    <n v="9400"/>
  </r>
  <r>
    <x v="190"/>
    <d v="2026-01-18T00:00:00"/>
    <d v="2026-01-18T00:00:00"/>
    <d v="1899-12-30T14:00:00"/>
    <d v="1899-12-30T15:00:00"/>
    <x v="1"/>
    <s v="OP191"/>
    <s v="Bahia"/>
    <s v="PROD_A"/>
    <s v="Componente Alfa"/>
    <x v="0"/>
    <s v="LINHA01"/>
    <n v="100"/>
    <n v="36"/>
    <n v="60"/>
    <n v="9"/>
    <x v="0"/>
    <n v="94"/>
    <n v="91"/>
    <n v="3"/>
    <s v="OP203"/>
    <s v="Jorge"/>
    <n v="50"/>
    <x v="0"/>
    <n v="51"/>
    <n v="0.85"/>
    <n v="1.1058823529411801"/>
    <n v="0.96808510638297895"/>
    <n v="0.91000000000000303"/>
    <x v="0"/>
    <n v="4550"/>
    <n v="900"/>
  </r>
  <r>
    <x v="191"/>
    <d v="2026-01-18T00:00:00"/>
    <d v="2026-01-18T00:00:00"/>
    <d v="1899-12-30T15:00:00"/>
    <d v="1899-12-30T16:00:00"/>
    <x v="1"/>
    <s v="OP192"/>
    <s v="Goias"/>
    <s v="PROD_A"/>
    <s v="Componente Alfa"/>
    <x v="0"/>
    <s v="LINHA01"/>
    <n v="100"/>
    <n v="36"/>
    <n v="60"/>
    <n v="3"/>
    <x v="6"/>
    <n v="86"/>
    <n v="86"/>
    <n v="0"/>
    <s v="OP301"/>
    <s v="Luis"/>
    <n v="50"/>
    <x v="4"/>
    <n v="57"/>
    <n v="0.95"/>
    <n v="0.90526315789473699"/>
    <n v="1"/>
    <n v="0.86"/>
    <x v="17"/>
    <n v="4300"/>
    <n v="250"/>
  </r>
  <r>
    <x v="192"/>
    <d v="2026-01-19T00:00:00"/>
    <d v="2026-01-19T00:00:00"/>
    <d v="1899-12-30T07:00:00"/>
    <d v="1899-12-30T08:00:00"/>
    <x v="0"/>
    <s v="OP193"/>
    <s v="Mato Grosso do Sul"/>
    <s v="PROD_A"/>
    <s v="Componente Alfa"/>
    <x v="0"/>
    <s v="LINHA01"/>
    <n v="100"/>
    <n v="36"/>
    <n v="60"/>
    <n v="5"/>
    <x v="0"/>
    <n v="99"/>
    <n v="97"/>
    <n v="2"/>
    <s v="OP101"/>
    <s v="Paulo"/>
    <n v="50"/>
    <x v="14"/>
    <n v="55"/>
    <n v="0.91666666666666596"/>
    <n v="1.08"/>
    <n v="0.97979797979798"/>
    <n v="0.97"/>
    <x v="13"/>
    <n v="4850"/>
    <n v="516.66669999999999"/>
  </r>
  <r>
    <x v="193"/>
    <d v="2026-01-19T00:00:00"/>
    <d v="2026-01-19T00:00:00"/>
    <d v="1899-12-30T08:00:00"/>
    <d v="1899-12-30T09:00:00"/>
    <x v="0"/>
    <s v="OP194"/>
    <s v="Para"/>
    <s v="PROD_A"/>
    <s v="Componente Alfa"/>
    <x v="0"/>
    <s v="LINHA01"/>
    <n v="100"/>
    <n v="36"/>
    <n v="60"/>
    <n v="0"/>
    <x v="1"/>
    <n v="96"/>
    <n v="95"/>
    <n v="1"/>
    <s v="OP101"/>
    <s v="Paulo"/>
    <n v="50"/>
    <x v="1"/>
    <n v="60"/>
    <n v="1"/>
    <n v="0.96"/>
    <n v="0.98958333333333404"/>
    <n v="0.95000000000000095"/>
    <x v="1"/>
    <n v="4750"/>
    <n v="50"/>
  </r>
  <r>
    <x v="194"/>
    <d v="2026-01-19T00:00:00"/>
    <d v="2026-01-19T00:00:00"/>
    <d v="1899-12-30T09:00:00"/>
    <d v="1899-12-30T10:00:00"/>
    <x v="0"/>
    <s v="OP195"/>
    <s v="Sao Paulo"/>
    <s v="PROD_A"/>
    <s v="Componente Alfa"/>
    <x v="0"/>
    <s v="LINHA01"/>
    <n v="100"/>
    <n v="36"/>
    <n v="60"/>
    <n v="20"/>
    <x v="2"/>
    <n v="69"/>
    <n v="63"/>
    <n v="6"/>
    <s v="OP102"/>
    <s v="Davi"/>
    <n v="50"/>
    <x v="15"/>
    <n v="40"/>
    <n v="0.66666666666666696"/>
    <n v="1.0349999999999999"/>
    <n v="0.91304347826086996"/>
    <n v="0.63"/>
    <x v="45"/>
    <n v="3150"/>
    <n v="1966.6667"/>
  </r>
  <r>
    <x v="195"/>
    <d v="2026-01-19T00:00:00"/>
    <d v="2026-01-19T00:00:00"/>
    <d v="1899-12-30T10:00:00"/>
    <d v="1899-12-30T11:00:00"/>
    <x v="0"/>
    <s v="OP196"/>
    <s v="Rio de Janeiro"/>
    <s v="PROD_B"/>
    <s v="Peca Beta"/>
    <x v="1"/>
    <s v="LINHA01"/>
    <n v="120"/>
    <n v="30"/>
    <n v="60"/>
    <n v="2"/>
    <x v="3"/>
    <n v="100"/>
    <n v="95"/>
    <n v="5"/>
    <s v="OP103"/>
    <s v="Joao"/>
    <n v="80"/>
    <x v="3"/>
    <n v="58"/>
    <n v="0.96666666666666701"/>
    <n v="0.86206896551724099"/>
    <n v="0.95"/>
    <n v="0.79166666666666596"/>
    <x v="3"/>
    <n v="7600"/>
    <n v="720"/>
  </r>
  <r>
    <x v="196"/>
    <d v="2026-01-19T00:00:00"/>
    <d v="2026-01-19T00:00:00"/>
    <d v="1899-12-30T11:00:00"/>
    <d v="1899-12-30T12:00:00"/>
    <x v="0"/>
    <s v="OP197"/>
    <s v="Para"/>
    <s v="PROD_B"/>
    <s v="Peca Beta"/>
    <x v="1"/>
    <s v="LINHA01"/>
    <n v="120"/>
    <n v="30"/>
    <n v="60"/>
    <n v="0"/>
    <x v="1"/>
    <n v="109"/>
    <n v="109"/>
    <n v="0"/>
    <s v="OP103"/>
    <s v="Joao"/>
    <n v="80"/>
    <x v="4"/>
    <n v="60"/>
    <n v="1"/>
    <n v="0.90833333333333299"/>
    <n v="1"/>
    <n v="0.90833333333333299"/>
    <x v="1"/>
    <n v="8720"/>
    <n v="0"/>
  </r>
  <r>
    <x v="197"/>
    <d v="2026-01-19T00:00:00"/>
    <d v="2026-01-19T00:00:00"/>
    <d v="1899-12-30T12:00:00"/>
    <d v="1899-12-30T13:00:00"/>
    <x v="0"/>
    <s v="OP198"/>
    <s v="Goias"/>
    <s v="PROD_B"/>
    <s v="Peca Beta"/>
    <x v="1"/>
    <s v="LINHA01"/>
    <n v="120"/>
    <n v="30"/>
    <n v="60"/>
    <n v="5"/>
    <x v="4"/>
    <n v="86"/>
    <n v="80"/>
    <n v="6"/>
    <s v="OP104"/>
    <s v="Anna"/>
    <n v="80"/>
    <x v="24"/>
    <n v="55"/>
    <n v="0.91666666666666596"/>
    <n v="0.78181818181818197"/>
    <n v="0.93023255813953498"/>
    <n v="0.66666666666666596"/>
    <x v="46"/>
    <n v="6400"/>
    <n v="1280"/>
  </r>
  <r>
    <x v="198"/>
    <d v="2026-01-19T00:00:00"/>
    <d v="2026-01-19T00:00:00"/>
    <d v="1899-12-30T13:00:00"/>
    <d v="1899-12-30T14:00:00"/>
    <x v="1"/>
    <s v="OP199"/>
    <s v="Piaui"/>
    <s v="PROD_C"/>
    <s v="Conjunto Gama"/>
    <x v="2"/>
    <s v="LINHA02"/>
    <n v="80"/>
    <n v="45"/>
    <n v="60"/>
    <n v="7"/>
    <x v="0"/>
    <n v="72"/>
    <n v="72"/>
    <n v="0"/>
    <s v="OP201"/>
    <s v="Lucia"/>
    <n v="120"/>
    <x v="4"/>
    <n v="53"/>
    <n v="0.88333333333333297"/>
    <n v="1.0188679245283001"/>
    <n v="1"/>
    <n v="0.89999999999999802"/>
    <x v="36"/>
    <n v="8640"/>
    <n v="1120"/>
  </r>
  <r>
    <x v="199"/>
    <d v="2026-01-19T00:00:00"/>
    <d v="2026-01-19T00:00:00"/>
    <d v="1899-12-30T14:00:00"/>
    <d v="1899-12-30T15:00:00"/>
    <x v="1"/>
    <s v="OP200"/>
    <s v="Parana"/>
    <s v="PROD_C"/>
    <s v="Conjunto Gama"/>
    <x v="2"/>
    <s v="LINHA02"/>
    <n v="80"/>
    <n v="45"/>
    <n v="60"/>
    <n v="0"/>
    <x v="1"/>
    <n v="71"/>
    <n v="66"/>
    <n v="5"/>
    <s v="OP201"/>
    <s v="Lucia"/>
    <n v="120"/>
    <x v="39"/>
    <n v="60"/>
    <n v="1"/>
    <n v="0.88749999999999996"/>
    <n v="0.92957746478873204"/>
    <n v="0.82499999999999996"/>
    <x v="1"/>
    <n v="7920"/>
    <n v="600"/>
  </r>
  <r>
    <x v="200"/>
    <d v="2026-01-19T00:00:00"/>
    <d v="2026-01-19T00:00:00"/>
    <d v="1899-12-30T15:00:00"/>
    <d v="1899-12-30T16:00:00"/>
    <x v="1"/>
    <s v="OP201"/>
    <s v="Bahia"/>
    <s v="PROD_C"/>
    <s v="Conjunto Gama"/>
    <x v="2"/>
    <s v="LINHA02"/>
    <n v="80"/>
    <n v="45"/>
    <n v="60"/>
    <n v="59"/>
    <x v="5"/>
    <n v="50"/>
    <n v="0"/>
    <n v="50"/>
    <s v="OP202"/>
    <s v="Mariana"/>
    <n v="120"/>
    <x v="36"/>
    <n v="1"/>
    <n v="1.6666666666666701E-2"/>
    <n v="37.5"/>
    <n v="0"/>
    <n v="0"/>
    <x v="47"/>
    <n v="0"/>
    <n v="15440"/>
  </r>
  <r>
    <x v="201"/>
    <d v="2026-01-19T00:00:00"/>
    <d v="2026-01-19T00:00:00"/>
    <d v="1899-12-30T16:00:00"/>
    <d v="1899-12-30T17:00:00"/>
    <x v="1"/>
    <s v="OP202"/>
    <s v="Minas Gerais"/>
    <s v="PROD_A"/>
    <s v="Componente Alfa"/>
    <x v="0"/>
    <s v="LINHA01"/>
    <n v="100"/>
    <n v="36"/>
    <n v="60"/>
    <n v="8"/>
    <x v="0"/>
    <n v="94"/>
    <n v="92"/>
    <n v="2"/>
    <s v="OP203"/>
    <s v="Jorge"/>
    <n v="50"/>
    <x v="14"/>
    <n v="52"/>
    <n v="0.86666666666666703"/>
    <n v="1.0846153846153801"/>
    <n v="0.97872340425531901"/>
    <n v="0.91999999999999604"/>
    <x v="25"/>
    <n v="4600"/>
    <n v="766.66669999999999"/>
  </r>
  <r>
    <x v="202"/>
    <d v="2026-01-19T00:00:00"/>
    <d v="2026-01-19T00:00:00"/>
    <d v="1899-12-30T17:00:00"/>
    <d v="1899-12-30T18:00:00"/>
    <x v="1"/>
    <s v="OP203"/>
    <s v="Rio de Janeiro"/>
    <s v="PROD_A"/>
    <s v="Componente Alfa"/>
    <x v="0"/>
    <s v="LINHA01"/>
    <n v="100"/>
    <n v="36"/>
    <n v="60"/>
    <n v="0"/>
    <x v="1"/>
    <n v="98"/>
    <n v="97"/>
    <n v="1"/>
    <s v="OP301"/>
    <s v="Luis"/>
    <n v="50"/>
    <x v="1"/>
    <n v="60"/>
    <n v="1"/>
    <n v="0.98"/>
    <n v="0.98979591836734704"/>
    <n v="0.97"/>
    <x v="1"/>
    <n v="4850"/>
    <n v="50"/>
  </r>
  <r>
    <x v="203"/>
    <d v="2026-01-19T00:00:00"/>
    <d v="2026-01-19T00:00:00"/>
    <d v="1899-12-30T17:00:00"/>
    <d v="1899-12-30T18:00:00"/>
    <x v="1"/>
    <s v="OP204"/>
    <s v="Mato Grosso do Sul"/>
    <s v="PROD_A"/>
    <s v="Componente Alfa"/>
    <x v="0"/>
    <s v="LINHA01"/>
    <n v="100"/>
    <n v="36"/>
    <n v="60"/>
    <n v="2"/>
    <x v="6"/>
    <n v="91"/>
    <n v="91"/>
    <n v="0"/>
    <s v="OP301"/>
    <s v="Luis"/>
    <n v="50"/>
    <x v="4"/>
    <n v="58"/>
    <n v="0.96666666666666701"/>
    <n v="0.94137931034482802"/>
    <n v="1"/>
    <n v="0.91000000000000103"/>
    <x v="21"/>
    <n v="4550"/>
    <n v="166.66669999999999"/>
  </r>
  <r>
    <x v="204"/>
    <d v="2026-01-20T00:00:00"/>
    <d v="2026-01-20T00:00:00"/>
    <d v="1899-12-30T07:00:00"/>
    <d v="1899-12-30T08:00:00"/>
    <x v="0"/>
    <s v="OP205"/>
    <s v="Mato Grosso do Sul"/>
    <s v="PROD_B"/>
    <s v="Peca Beta"/>
    <x v="1"/>
    <s v="LINHA01"/>
    <n v="120"/>
    <n v="30"/>
    <n v="60"/>
    <n v="0"/>
    <x v="1"/>
    <n v="109"/>
    <n v="101"/>
    <n v="8"/>
    <s v="OP101"/>
    <s v="Paulo"/>
    <n v="80"/>
    <x v="17"/>
    <n v="60"/>
    <n v="1"/>
    <n v="0.90833333333333299"/>
    <n v="0.92660550458715596"/>
    <n v="0.84166666666666601"/>
    <x v="1"/>
    <n v="8080"/>
    <n v="640"/>
  </r>
  <r>
    <x v="205"/>
    <d v="2026-01-20T00:00:00"/>
    <d v="2026-01-20T00:00:00"/>
    <d v="1899-12-30T08:00:00"/>
    <d v="1899-12-30T09:00:00"/>
    <x v="0"/>
    <s v="OP206"/>
    <s v="Sao Paulo"/>
    <s v="PROD_B"/>
    <s v="Peca Beta"/>
    <x v="1"/>
    <s v="LINHA01"/>
    <n v="120"/>
    <n v="30"/>
    <n v="60"/>
    <n v="4"/>
    <x v="7"/>
    <n v="0"/>
    <n v="0"/>
    <n v="0"/>
    <s v="OP102"/>
    <s v="Davi"/>
    <n v="80"/>
    <x v="4"/>
    <n v="56"/>
    <n v="0.93333333333333302"/>
    <n v="0"/>
    <n v="0"/>
    <n v="0"/>
    <x v="33"/>
    <n v="0"/>
    <n v="640"/>
  </r>
  <r>
    <x v="206"/>
    <d v="2026-01-20T00:00:00"/>
    <d v="2026-01-20T00:00:00"/>
    <d v="1899-12-30T09:00:00"/>
    <d v="1899-12-30T10:00:00"/>
    <x v="0"/>
    <s v="OP207"/>
    <s v="Sao Paulo"/>
    <s v="PROD_B"/>
    <s v="Peca Beta"/>
    <x v="1"/>
    <s v="LINHA01"/>
    <n v="120"/>
    <n v="30"/>
    <n v="60"/>
    <n v="2"/>
    <x v="8"/>
    <n v="108"/>
    <n v="106"/>
    <n v="2"/>
    <s v="OP102"/>
    <s v="Davi"/>
    <n v="80"/>
    <x v="9"/>
    <n v="58"/>
    <n v="0.96666666666666701"/>
    <n v="0.931034482758621"/>
    <n v="0.98148148148148195"/>
    <n v="0.88333333333333397"/>
    <x v="3"/>
    <n v="8480"/>
    <n v="480"/>
  </r>
  <r>
    <x v="207"/>
    <d v="2026-01-20T00:00:00"/>
    <d v="2026-01-20T00:00:00"/>
    <d v="1899-12-30T10:00:00"/>
    <d v="1899-12-30T11:00:00"/>
    <x v="0"/>
    <s v="OP208"/>
    <s v="Para"/>
    <s v="PROD_C"/>
    <s v="Conjunto Gama"/>
    <x v="2"/>
    <s v="LINHA02"/>
    <n v="80"/>
    <n v="45"/>
    <n v="60"/>
    <n v="0"/>
    <x v="1"/>
    <n v="86"/>
    <n v="78"/>
    <n v="8"/>
    <s v="OP103"/>
    <s v="Joao"/>
    <n v="120"/>
    <x v="28"/>
    <n v="60"/>
    <n v="1"/>
    <n v="1.075"/>
    <n v="0.90697674418604601"/>
    <n v="0.97499999999999898"/>
    <x v="1"/>
    <n v="9360"/>
    <n v="960"/>
  </r>
  <r>
    <x v="208"/>
    <d v="2026-01-20T00:00:00"/>
    <d v="2026-01-20T00:00:00"/>
    <d v="1899-12-30T11:00:00"/>
    <d v="1899-12-30T12:00:00"/>
    <x v="0"/>
    <s v="OP209"/>
    <s v="Sao Paulo"/>
    <s v="PROD_C"/>
    <s v="Conjunto Gama"/>
    <x v="2"/>
    <s v="LINHA02"/>
    <n v="80"/>
    <n v="45"/>
    <n v="60"/>
    <n v="11"/>
    <x v="9"/>
    <n v="67"/>
    <n v="67"/>
    <n v="0"/>
    <s v="OP104"/>
    <s v="Anna"/>
    <n v="120"/>
    <x v="4"/>
    <n v="49"/>
    <n v="0.81666666666666698"/>
    <n v="1.02551020408163"/>
    <n v="1"/>
    <n v="0.83749999999999802"/>
    <x v="19"/>
    <n v="8040"/>
    <n v="1760"/>
  </r>
  <r>
    <x v="209"/>
    <d v="2026-01-20T00:00:00"/>
    <d v="2026-01-20T00:00:00"/>
    <d v="1899-12-30T12:00:00"/>
    <d v="1899-12-30T13:00:00"/>
    <x v="1"/>
    <s v="OP210"/>
    <s v="Bahia"/>
    <s v="PROD_A"/>
    <s v="Componente Alfa"/>
    <x v="0"/>
    <s v="LINHA01"/>
    <n v="100"/>
    <n v="36"/>
    <n v="60"/>
    <n v="0"/>
    <x v="1"/>
    <n v="103"/>
    <n v="100"/>
    <n v="3"/>
    <s v="OP201"/>
    <s v="Lucia"/>
    <n v="50"/>
    <x v="0"/>
    <n v="60"/>
    <n v="1"/>
    <n v="1.03"/>
    <n v="0.970873786407767"/>
    <n v="1"/>
    <x v="1"/>
    <n v="5000"/>
    <n v="150"/>
  </r>
  <r>
    <x v="210"/>
    <d v="2026-01-20T00:00:00"/>
    <d v="2026-01-20T00:00:00"/>
    <d v="1899-12-30T13:00:00"/>
    <d v="1899-12-30T14:00:00"/>
    <x v="1"/>
    <s v="OP211"/>
    <s v="Mato Grosso do Sul"/>
    <s v="PROD_A"/>
    <s v="Componente Alfa"/>
    <x v="0"/>
    <s v="LINHA01"/>
    <n v="100"/>
    <n v="36"/>
    <n v="60"/>
    <n v="5"/>
    <x v="10"/>
    <n v="91"/>
    <n v="91"/>
    <n v="0"/>
    <s v="OP202"/>
    <s v="Mariana"/>
    <n v="50"/>
    <x v="4"/>
    <n v="55"/>
    <n v="0.91666666666666596"/>
    <n v="0.99272727272727301"/>
    <n v="1"/>
    <n v="0.91"/>
    <x v="13"/>
    <n v="4550"/>
    <n v="416.66669999999999"/>
  </r>
  <r>
    <x v="211"/>
    <d v="2026-01-20T00:00:00"/>
    <d v="2026-01-20T00:00:00"/>
    <d v="1899-12-30T14:00:00"/>
    <d v="1899-12-30T15:00:00"/>
    <x v="1"/>
    <s v="OP212"/>
    <s v="Bahia"/>
    <s v="PROD_B"/>
    <s v="Peca Beta"/>
    <x v="1"/>
    <s v="LINHA01"/>
    <n v="120"/>
    <n v="30"/>
    <n v="60"/>
    <n v="0"/>
    <x v="1"/>
    <n v="117"/>
    <n v="112"/>
    <n v="5"/>
    <s v="OP203"/>
    <s v="Jorge"/>
    <n v="80"/>
    <x v="3"/>
    <n v="60"/>
    <n v="1"/>
    <n v="0.97499999999999998"/>
    <n v="0.95726495726495697"/>
    <n v="0.93333333333333302"/>
    <x v="1"/>
    <n v="8960"/>
    <n v="400"/>
  </r>
  <r>
    <x v="212"/>
    <d v="2026-01-20T00:00:00"/>
    <d v="2026-01-20T00:00:00"/>
    <d v="1899-12-30T15:00:00"/>
    <d v="1899-12-30T16:00:00"/>
    <x v="1"/>
    <s v="OP213"/>
    <s v="Parana"/>
    <s v="PROD_B"/>
    <s v="Peca Beta"/>
    <x v="1"/>
    <s v="LINHA01"/>
    <n v="120"/>
    <n v="30"/>
    <n v="60"/>
    <n v="9"/>
    <x v="11"/>
    <n v="73"/>
    <n v="66"/>
    <n v="7"/>
    <s v="OP201"/>
    <s v="Lucia"/>
    <n v="80"/>
    <x v="5"/>
    <n v="51"/>
    <n v="0.85"/>
    <n v="0.71568627450980404"/>
    <n v="0.90410958904109595"/>
    <n v="0.55000000000000004"/>
    <x v="15"/>
    <n v="5280"/>
    <n v="2000"/>
  </r>
  <r>
    <x v="213"/>
    <d v="2026-01-20T00:00:00"/>
    <d v="2026-01-20T00:00:00"/>
    <d v="1899-12-30T17:00:00"/>
    <d v="1899-12-30T18:00:00"/>
    <x v="2"/>
    <s v="OP214"/>
    <s v="Piaui"/>
    <s v="PROD_C"/>
    <s v="Conjunto Gama"/>
    <x v="2"/>
    <s v="LINHA02"/>
    <n v="80"/>
    <n v="45"/>
    <n v="60"/>
    <n v="0"/>
    <x v="1"/>
    <n v="82"/>
    <n v="82"/>
    <n v="0"/>
    <s v="OP302"/>
    <s v="Jose"/>
    <n v="120"/>
    <x v="4"/>
    <n v="60"/>
    <n v="1"/>
    <n v="1.0249999999999999"/>
    <n v="1"/>
    <n v="1.0249999999999999"/>
    <x v="1"/>
    <n v="9840"/>
    <n v="0"/>
  </r>
  <r>
    <x v="214"/>
    <d v="2026-01-20T00:00:00"/>
    <d v="2026-01-20T00:00:00"/>
    <d v="1899-12-30T18:00:00"/>
    <d v="1899-12-30T19:00:00"/>
    <x v="2"/>
    <s v="OP215"/>
    <s v="Goias"/>
    <s v="PROD_C"/>
    <s v="Conjunto Gama"/>
    <x v="2"/>
    <s v="LINHA02"/>
    <n v="80"/>
    <n v="45"/>
    <n v="60"/>
    <n v="23"/>
    <x v="12"/>
    <n v="63"/>
    <n v="56"/>
    <n v="7"/>
    <s v="OP302"/>
    <s v="Jose"/>
    <n v="120"/>
    <x v="12"/>
    <n v="37"/>
    <n v="0.61666666666666703"/>
    <n v="1.2770270270270301"/>
    <n v="0.88888888888888895"/>
    <n v="0.70000000000000195"/>
    <x v="40"/>
    <n v="6720"/>
    <n v="4520"/>
  </r>
  <r>
    <x v="215"/>
    <d v="2026-01-21T00:00:00"/>
    <d v="2026-01-21T00:00:00"/>
    <d v="1899-12-30T07:00:00"/>
    <d v="1899-12-30T08:00:00"/>
    <x v="0"/>
    <s v="OP216"/>
    <s v="Minas Gerais"/>
    <s v="PROD_A"/>
    <s v="Componente Alfa"/>
    <x v="0"/>
    <s v="LINHA01"/>
    <n v="100"/>
    <n v="36"/>
    <n v="60"/>
    <n v="6"/>
    <x v="13"/>
    <n v="96"/>
    <n v="94"/>
    <n v="2"/>
    <s v="OP101"/>
    <s v="Paulo"/>
    <n v="50"/>
    <x v="14"/>
    <n v="54"/>
    <n v="0.9"/>
    <n v="1.06666666666667"/>
    <n v="0.97916666666666596"/>
    <n v="0.94000000000000195"/>
    <x v="6"/>
    <n v="4700"/>
    <n v="600"/>
  </r>
  <r>
    <x v="216"/>
    <d v="2026-01-21T00:00:00"/>
    <d v="2026-01-21T00:00:00"/>
    <d v="1899-12-30T08:00:00"/>
    <d v="1899-12-30T09:00:00"/>
    <x v="0"/>
    <s v="OP217"/>
    <s v="Para"/>
    <s v="PROD_A"/>
    <s v="Componente Alfa"/>
    <x v="0"/>
    <s v="LINHA01"/>
    <n v="100"/>
    <n v="36"/>
    <n v="60"/>
    <n v="0"/>
    <x v="1"/>
    <n v="91"/>
    <n v="91"/>
    <n v="0"/>
    <s v="OP101"/>
    <s v="Paulo"/>
    <n v="50"/>
    <x v="4"/>
    <n v="60"/>
    <n v="1"/>
    <n v="0.91"/>
    <n v="1"/>
    <n v="0.91"/>
    <x v="1"/>
    <n v="4550"/>
    <n v="0"/>
  </r>
  <r>
    <x v="217"/>
    <d v="2026-01-21T00:00:00"/>
    <d v="2026-01-21T00:00:00"/>
    <d v="1899-12-30T09:00:00"/>
    <d v="1899-12-30T10:00:00"/>
    <x v="0"/>
    <s v="OP218"/>
    <s v="Piaui"/>
    <s v="PROD_A"/>
    <s v="Componente Alfa"/>
    <x v="0"/>
    <s v="LINHA01"/>
    <n v="100"/>
    <n v="36"/>
    <n v="60"/>
    <n v="9"/>
    <x v="0"/>
    <n v="81"/>
    <n v="78"/>
    <n v="3"/>
    <s v="OP101"/>
    <s v="Paulo"/>
    <n v="50"/>
    <x v="0"/>
    <n v="51"/>
    <n v="0.85"/>
    <n v="0.95294117647058796"/>
    <n v="0.96296296296296302"/>
    <n v="0.78"/>
    <x v="0"/>
    <n v="3900"/>
    <n v="900"/>
  </r>
  <r>
    <x v="218"/>
    <d v="2026-01-21T00:00:00"/>
    <d v="2026-01-21T00:00:00"/>
    <d v="1899-12-30T10:00:00"/>
    <d v="1899-12-30T11:00:00"/>
    <x v="0"/>
    <s v="OP219"/>
    <s v="Minas Gerais"/>
    <s v="PROD_A"/>
    <s v="Componente Alfa"/>
    <x v="0"/>
    <s v="LINHA01"/>
    <n v="100"/>
    <n v="36"/>
    <n v="60"/>
    <n v="11"/>
    <x v="2"/>
    <n v="83"/>
    <n v="77"/>
    <n v="6"/>
    <s v="OP102"/>
    <s v="Davi"/>
    <n v="50"/>
    <x v="15"/>
    <n v="49"/>
    <n v="0.81666666666666698"/>
    <n v="1.01632653061224"/>
    <n v="0.92771084337349397"/>
    <n v="0.76999999999999602"/>
    <x v="2"/>
    <n v="3850"/>
    <n v="1216.6667"/>
  </r>
  <r>
    <x v="219"/>
    <d v="2026-01-21T00:00:00"/>
    <d v="2026-01-21T00:00:00"/>
    <d v="1899-12-30T11:00:00"/>
    <d v="1899-12-30T12:00:00"/>
    <x v="0"/>
    <s v="OP220"/>
    <s v="Parana"/>
    <s v="PROD_B"/>
    <s v="Peca Beta"/>
    <x v="1"/>
    <s v="LINHA01"/>
    <n v="120"/>
    <n v="30"/>
    <n v="60"/>
    <n v="1"/>
    <x v="3"/>
    <n v="113"/>
    <n v="107"/>
    <n v="6"/>
    <s v="OP103"/>
    <s v="Joao"/>
    <n v="80"/>
    <x v="24"/>
    <n v="59"/>
    <n v="0.98333333333333295"/>
    <n v="0.95762711864406802"/>
    <n v="0.946902654867257"/>
    <n v="0.89166666666666705"/>
    <x v="14"/>
    <n v="8560"/>
    <n v="640"/>
  </r>
  <r>
    <x v="220"/>
    <d v="2026-01-21T00:00:00"/>
    <d v="2026-01-21T00:00:00"/>
    <d v="1899-12-30T12:00:00"/>
    <d v="1899-12-30T13:00:00"/>
    <x v="1"/>
    <s v="OP221"/>
    <s v="Parana"/>
    <s v="PROD_C"/>
    <s v="Conjunto Gama"/>
    <x v="2"/>
    <s v="LINHA02"/>
    <n v="80"/>
    <n v="45"/>
    <n v="60"/>
    <n v="8"/>
    <x v="0"/>
    <n v="80"/>
    <n v="80"/>
    <n v="0"/>
    <s v="OP201"/>
    <s v="Lucia"/>
    <n v="120"/>
    <x v="4"/>
    <n v="52"/>
    <n v="0.86666666666666703"/>
    <n v="1.15384615384615"/>
    <n v="1"/>
    <n v="0.999999999999997"/>
    <x v="4"/>
    <n v="9600"/>
    <n v="1280"/>
  </r>
  <r>
    <x v="221"/>
    <d v="2026-01-21T00:00:00"/>
    <d v="2026-01-21T00:00:00"/>
    <d v="1899-12-30T13:00:00"/>
    <d v="1899-12-30T14:00:00"/>
    <x v="1"/>
    <s v="OP222"/>
    <s v="Piaui"/>
    <s v="PROD_C"/>
    <s v="Conjunto Gama"/>
    <x v="2"/>
    <s v="LINHA02"/>
    <n v="80"/>
    <n v="45"/>
    <n v="60"/>
    <n v="26"/>
    <x v="5"/>
    <n v="49"/>
    <n v="0"/>
    <n v="49"/>
    <s v="OP202"/>
    <s v="Mariana"/>
    <n v="120"/>
    <x v="29"/>
    <n v="34"/>
    <n v="0.56666666666666698"/>
    <n v="1.08088235294118"/>
    <n v="0"/>
    <n v="0"/>
    <x v="37"/>
    <n v="0"/>
    <n v="10040"/>
  </r>
  <r>
    <x v="222"/>
    <d v="2026-01-21T00:00:00"/>
    <d v="2026-01-21T00:00:00"/>
    <d v="1899-12-30T14:00:00"/>
    <d v="1899-12-30T15:00:00"/>
    <x v="1"/>
    <s v="OP223"/>
    <s v="Para"/>
    <s v="PROD_A"/>
    <s v="Componente Alfa"/>
    <x v="0"/>
    <s v="LINHA01"/>
    <n v="100"/>
    <n v="36"/>
    <n v="60"/>
    <n v="6"/>
    <x v="0"/>
    <n v="100"/>
    <n v="98"/>
    <n v="2"/>
    <s v="OP203"/>
    <s v="Jorge"/>
    <n v="50"/>
    <x v="14"/>
    <n v="54"/>
    <n v="0.9"/>
    <n v="1.1111111111111101"/>
    <n v="0.98"/>
    <n v="0.97999999999999898"/>
    <x v="6"/>
    <n v="4900"/>
    <n v="600"/>
  </r>
  <r>
    <x v="223"/>
    <d v="2026-01-21T00:00:00"/>
    <d v="2026-01-21T00:00:00"/>
    <d v="1899-12-30T15:00:00"/>
    <d v="1899-12-30T16:00:00"/>
    <x v="1"/>
    <s v="OP224"/>
    <s v="Sao Paulo"/>
    <s v="PROD_A"/>
    <s v="Componente Alfa"/>
    <x v="0"/>
    <s v="LINHA01"/>
    <n v="100"/>
    <n v="36"/>
    <n v="60"/>
    <n v="3"/>
    <x v="6"/>
    <n v="99"/>
    <n v="99"/>
    <n v="0"/>
    <s v="OP301"/>
    <s v="Luis"/>
    <n v="50"/>
    <x v="4"/>
    <n v="57"/>
    <n v="0.95"/>
    <n v="1.04210526315789"/>
    <n v="1"/>
    <n v="0.98999999999999599"/>
    <x v="17"/>
    <n v="4950"/>
    <n v="250"/>
  </r>
  <r>
    <x v="224"/>
    <d v="2026-01-22T00:00:00"/>
    <d v="2026-01-22T00:00:00"/>
    <d v="1899-12-30T07:00:00"/>
    <d v="1899-12-30T08:00:00"/>
    <x v="0"/>
    <s v="OP225"/>
    <s v="Mato Grosso do Sul"/>
    <s v="PROD_A"/>
    <s v="Componente Alfa"/>
    <x v="0"/>
    <s v="LINHA01"/>
    <n v="100"/>
    <n v="36"/>
    <n v="60"/>
    <n v="8"/>
    <x v="0"/>
    <n v="86"/>
    <n v="84"/>
    <n v="2"/>
    <s v="OP101"/>
    <s v="Paulo"/>
    <n v="50"/>
    <x v="14"/>
    <n v="52"/>
    <n v="0.86666666666666703"/>
    <n v="0.992307692307692"/>
    <n v="0.97674418604651203"/>
    <n v="0.84"/>
    <x v="25"/>
    <n v="4200"/>
    <n v="766.66669999999999"/>
  </r>
  <r>
    <x v="225"/>
    <d v="2026-01-22T00:00:00"/>
    <d v="2026-01-22T00:00:00"/>
    <d v="1899-12-30T08:00:00"/>
    <d v="1899-12-30T09:00:00"/>
    <x v="0"/>
    <s v="OP226"/>
    <s v="Para"/>
    <s v="PROD_A"/>
    <s v="Componente Alfa"/>
    <x v="0"/>
    <s v="LINHA01"/>
    <n v="100"/>
    <n v="36"/>
    <n v="60"/>
    <n v="0"/>
    <x v="1"/>
    <n v="96"/>
    <n v="95"/>
    <n v="1"/>
    <s v="OP101"/>
    <s v="Paulo"/>
    <n v="50"/>
    <x v="1"/>
    <n v="60"/>
    <n v="1"/>
    <n v="0.96"/>
    <n v="0.98958333333333404"/>
    <n v="0.95000000000000095"/>
    <x v="1"/>
    <n v="4750"/>
    <n v="50"/>
  </r>
  <r>
    <x v="226"/>
    <d v="2026-01-22T00:00:00"/>
    <d v="2026-01-22T00:00:00"/>
    <d v="1899-12-30T09:00:00"/>
    <d v="1899-12-30T10:00:00"/>
    <x v="0"/>
    <s v="OP227"/>
    <s v="Bahia"/>
    <s v="PROD_A"/>
    <s v="Componente Alfa"/>
    <x v="0"/>
    <s v="LINHA01"/>
    <n v="100"/>
    <n v="36"/>
    <n v="60"/>
    <n v="16"/>
    <x v="2"/>
    <n v="68"/>
    <n v="61"/>
    <n v="7"/>
    <s v="OP102"/>
    <s v="Davi"/>
    <n v="50"/>
    <x v="2"/>
    <n v="44"/>
    <n v="0.73333333333333295"/>
    <n v="0.92727272727272703"/>
    <n v="0.89705882352941202"/>
    <n v="0.61"/>
    <x v="32"/>
    <n v="3050"/>
    <n v="1683.3333"/>
  </r>
  <r>
    <x v="227"/>
    <d v="2026-01-22T00:00:00"/>
    <d v="2026-01-22T00:00:00"/>
    <d v="1899-12-30T10:00:00"/>
    <d v="1899-12-30T11:00:00"/>
    <x v="0"/>
    <s v="OP228"/>
    <s v="Parana"/>
    <s v="PROD_B"/>
    <s v="Peca Beta"/>
    <x v="1"/>
    <s v="LINHA01"/>
    <n v="120"/>
    <n v="30"/>
    <n v="60"/>
    <n v="1"/>
    <x v="3"/>
    <n v="102"/>
    <n v="98"/>
    <n v="4"/>
    <s v="OP103"/>
    <s v="Joao"/>
    <n v="80"/>
    <x v="8"/>
    <n v="59"/>
    <n v="0.98333333333333295"/>
    <n v="0.86440677966101698"/>
    <n v="0.96078431372549"/>
    <n v="0.81666666666666599"/>
    <x v="14"/>
    <n v="7840"/>
    <n v="480"/>
  </r>
  <r>
    <x v="228"/>
    <d v="2026-01-22T00:00:00"/>
    <d v="2026-01-22T00:00:00"/>
    <d v="1899-12-30T11:00:00"/>
    <d v="1899-12-30T12:00:00"/>
    <x v="0"/>
    <s v="OP229"/>
    <s v="Parana"/>
    <s v="PROD_B"/>
    <s v="Peca Beta"/>
    <x v="1"/>
    <s v="LINHA01"/>
    <n v="120"/>
    <n v="30"/>
    <n v="60"/>
    <n v="0"/>
    <x v="1"/>
    <n v="125"/>
    <n v="125"/>
    <n v="0"/>
    <s v="OP103"/>
    <s v="Joao"/>
    <n v="80"/>
    <x v="4"/>
    <n v="60"/>
    <n v="1"/>
    <n v="1.0416666666666701"/>
    <n v="1"/>
    <n v="1.0416666666666701"/>
    <x v="1"/>
    <n v="10000"/>
    <n v="0"/>
  </r>
  <r>
    <x v="229"/>
    <d v="2026-01-22T00:00:00"/>
    <d v="2026-01-22T00:00:00"/>
    <d v="1899-12-30T12:00:00"/>
    <d v="1899-12-30T13:00:00"/>
    <x v="0"/>
    <s v="OP230"/>
    <s v="Sao Paulo"/>
    <s v="PROD_B"/>
    <s v="Peca Beta"/>
    <x v="1"/>
    <s v="LINHA01"/>
    <n v="120"/>
    <n v="30"/>
    <n v="60"/>
    <n v="8"/>
    <x v="4"/>
    <n v="103"/>
    <n v="97"/>
    <n v="6"/>
    <s v="OP104"/>
    <s v="Anna"/>
    <n v="80"/>
    <x v="24"/>
    <n v="52"/>
    <n v="0.86666666666666703"/>
    <n v="0.99038461538461597"/>
    <n v="0.94174757281553401"/>
    <n v="0.80833333333333401"/>
    <x v="4"/>
    <n v="7760"/>
    <n v="1760"/>
  </r>
  <r>
    <x v="230"/>
    <d v="2026-01-22T00:00:00"/>
    <d v="2026-01-22T00:00:00"/>
    <d v="1899-12-30T13:00:00"/>
    <d v="1899-12-30T14:00:00"/>
    <x v="1"/>
    <s v="OP231"/>
    <s v="Goias"/>
    <s v="PROD_C"/>
    <s v="Conjunto Gama"/>
    <x v="2"/>
    <s v="LINHA02"/>
    <n v="80"/>
    <n v="45"/>
    <n v="60"/>
    <n v="10"/>
    <x v="0"/>
    <n v="77"/>
    <n v="77"/>
    <n v="0"/>
    <s v="OP201"/>
    <s v="Lucia"/>
    <n v="120"/>
    <x v="4"/>
    <n v="50"/>
    <n v="0.83333333333333404"/>
    <n v="1.155"/>
    <n v="1"/>
    <n v="0.96250000000000102"/>
    <x v="48"/>
    <n v="9240"/>
    <n v="1600"/>
  </r>
  <r>
    <x v="231"/>
    <d v="2026-01-22T00:00:00"/>
    <d v="2026-01-22T00:00:00"/>
    <d v="1899-12-30T14:00:00"/>
    <d v="1899-12-30T15:00:00"/>
    <x v="1"/>
    <s v="OP232"/>
    <s v="Goias"/>
    <s v="PROD_C"/>
    <s v="Conjunto Gama"/>
    <x v="2"/>
    <s v="LINHA02"/>
    <n v="80"/>
    <n v="45"/>
    <n v="60"/>
    <n v="0"/>
    <x v="1"/>
    <n v="73"/>
    <n v="64"/>
    <n v="9"/>
    <s v="OP201"/>
    <s v="Lucia"/>
    <n v="120"/>
    <x v="6"/>
    <n v="60"/>
    <n v="1"/>
    <n v="0.91249999999999998"/>
    <n v="0.87671232876712302"/>
    <n v="0.8"/>
    <x v="1"/>
    <n v="7680"/>
    <n v="1080"/>
  </r>
  <r>
    <x v="232"/>
    <d v="2026-01-22T00:00:00"/>
    <d v="2026-01-22T00:00:00"/>
    <d v="1899-12-30T15:00:00"/>
    <d v="1899-12-30T16:00:00"/>
    <x v="1"/>
    <s v="OP233"/>
    <s v="Bahia"/>
    <s v="PROD_C"/>
    <s v="Conjunto Gama"/>
    <x v="2"/>
    <s v="LINHA02"/>
    <n v="80"/>
    <n v="45"/>
    <n v="60"/>
    <n v="47"/>
    <x v="5"/>
    <n v="48"/>
    <n v="30"/>
    <n v="18"/>
    <s v="OP202"/>
    <s v="Mariana"/>
    <n v="120"/>
    <x v="20"/>
    <n v="13"/>
    <n v="0.21666666666666701"/>
    <n v="2.7692307692307701"/>
    <n v="0.625"/>
    <n v="0.375000000000001"/>
    <x v="49"/>
    <n v="3600"/>
    <n v="9680"/>
  </r>
  <r>
    <x v="233"/>
    <d v="2026-01-22T00:00:00"/>
    <d v="2026-01-22T00:00:00"/>
    <d v="1899-12-30T16:00:00"/>
    <d v="1899-12-30T17:00:00"/>
    <x v="1"/>
    <s v="OP234"/>
    <s v="Para"/>
    <s v="PROD_A"/>
    <s v="Componente Alfa"/>
    <x v="0"/>
    <s v="LINHA01"/>
    <n v="100"/>
    <n v="36"/>
    <n v="60"/>
    <n v="7"/>
    <x v="0"/>
    <n v="90"/>
    <n v="88"/>
    <n v="2"/>
    <s v="OP203"/>
    <s v="Jorge"/>
    <n v="50"/>
    <x v="14"/>
    <n v="53"/>
    <n v="0.88333333333333297"/>
    <n v="1.0188679245283001"/>
    <n v="0.97777777777777797"/>
    <n v="0.87999999999999801"/>
    <x v="27"/>
    <n v="4400"/>
    <n v="683.33330000000001"/>
  </r>
  <r>
    <x v="234"/>
    <d v="2026-01-22T00:00:00"/>
    <d v="2026-01-22T00:00:00"/>
    <d v="1899-12-30T17:00:00"/>
    <d v="1899-12-30T18:00:00"/>
    <x v="1"/>
    <s v="OP235"/>
    <s v="Minas Gerais"/>
    <s v="PROD_A"/>
    <s v="Componente Alfa"/>
    <x v="0"/>
    <s v="LINHA01"/>
    <n v="100"/>
    <n v="36"/>
    <n v="60"/>
    <n v="0"/>
    <x v="1"/>
    <n v="107"/>
    <n v="106"/>
    <n v="1"/>
    <s v="OP301"/>
    <s v="Luis"/>
    <n v="50"/>
    <x v="1"/>
    <n v="60"/>
    <n v="1"/>
    <n v="1.07"/>
    <n v="0.99065420560747597"/>
    <n v="1.06"/>
    <x v="1"/>
    <n v="5300"/>
    <n v="50"/>
  </r>
  <r>
    <x v="235"/>
    <d v="2026-01-22T00:00:00"/>
    <d v="2026-01-22T00:00:00"/>
    <d v="1899-12-30T17:00:00"/>
    <d v="1899-12-30T18:00:00"/>
    <x v="1"/>
    <s v="OP236"/>
    <s v="Sao Paulo"/>
    <s v="PROD_A"/>
    <s v="Componente Alfa"/>
    <x v="0"/>
    <s v="LINHA01"/>
    <n v="100"/>
    <n v="36"/>
    <n v="60"/>
    <n v="2"/>
    <x v="6"/>
    <n v="96"/>
    <n v="96"/>
    <n v="0"/>
    <s v="OP301"/>
    <s v="Luis"/>
    <n v="50"/>
    <x v="4"/>
    <n v="58"/>
    <n v="0.96666666666666701"/>
    <n v="0.99310344827586206"/>
    <n v="1"/>
    <n v="0.96"/>
    <x v="21"/>
    <n v="4800"/>
    <n v="166.66669999999999"/>
  </r>
  <r>
    <x v="236"/>
    <d v="2026-01-23T00:00:00"/>
    <d v="2026-01-23T00:00:00"/>
    <d v="1899-12-30T07:00:00"/>
    <d v="1899-12-30T08:00:00"/>
    <x v="0"/>
    <s v="OP237"/>
    <s v="Mato Grosso do Sul"/>
    <s v="PROD_B"/>
    <s v="Peca Beta"/>
    <x v="1"/>
    <s v="LINHA01"/>
    <n v="120"/>
    <n v="30"/>
    <n v="60"/>
    <n v="0"/>
    <x v="1"/>
    <n v="124"/>
    <n v="120"/>
    <n v="4"/>
    <s v="OP101"/>
    <s v="Paulo"/>
    <n v="80"/>
    <x v="8"/>
    <n v="60"/>
    <n v="1"/>
    <n v="1.0333333333333301"/>
    <n v="0.967741935483871"/>
    <n v="0.999999999999997"/>
    <x v="1"/>
    <n v="9600"/>
    <n v="320"/>
  </r>
  <r>
    <x v="237"/>
    <d v="2026-01-23T00:00:00"/>
    <d v="2026-01-23T00:00:00"/>
    <d v="1899-12-30T08:00:00"/>
    <d v="1899-12-30T09:00:00"/>
    <x v="0"/>
    <s v="OP238"/>
    <s v="Bahia"/>
    <s v="PROD_B"/>
    <s v="Peca Beta"/>
    <x v="1"/>
    <s v="LINHA01"/>
    <n v="120"/>
    <n v="30"/>
    <n v="60"/>
    <n v="9"/>
    <x v="7"/>
    <n v="0"/>
    <n v="0"/>
    <n v="0"/>
    <s v="OP102"/>
    <s v="Davi"/>
    <n v="80"/>
    <x v="4"/>
    <n v="51"/>
    <n v="0.85"/>
    <n v="0"/>
    <n v="0"/>
    <n v="0"/>
    <x v="15"/>
    <n v="0"/>
    <n v="1440"/>
  </r>
  <r>
    <x v="238"/>
    <d v="2026-01-23T00:00:00"/>
    <d v="2026-01-23T00:00:00"/>
    <d v="1899-12-30T09:00:00"/>
    <d v="1899-12-30T10:00:00"/>
    <x v="0"/>
    <s v="OP239"/>
    <s v="Para"/>
    <s v="PROD_B"/>
    <s v="Peca Beta"/>
    <x v="1"/>
    <s v="LINHA01"/>
    <n v="120"/>
    <n v="30"/>
    <n v="60"/>
    <n v="2"/>
    <x v="8"/>
    <n v="108"/>
    <n v="105"/>
    <n v="3"/>
    <s v="OP102"/>
    <s v="Davi"/>
    <n v="80"/>
    <x v="10"/>
    <n v="58"/>
    <n v="0.96666666666666701"/>
    <n v="0.931034482758621"/>
    <n v="0.97222222222222199"/>
    <n v="0.875"/>
    <x v="3"/>
    <n v="8400"/>
    <n v="560"/>
  </r>
  <r>
    <x v="239"/>
    <d v="2026-01-23T00:00:00"/>
    <d v="2026-01-23T00:00:00"/>
    <d v="1899-12-30T10:00:00"/>
    <d v="1899-12-30T11:00:00"/>
    <x v="0"/>
    <s v="OP240"/>
    <s v="Bahia"/>
    <s v="PROD_C"/>
    <s v="Conjunto Gama"/>
    <x v="2"/>
    <s v="LINHA02"/>
    <n v="80"/>
    <n v="45"/>
    <n v="60"/>
    <n v="0"/>
    <x v="1"/>
    <n v="86"/>
    <n v="75"/>
    <n v="11"/>
    <s v="OP103"/>
    <s v="Joao"/>
    <n v="120"/>
    <x v="40"/>
    <n v="60"/>
    <n v="1"/>
    <n v="1.075"/>
    <n v="0.87209302325581395"/>
    <n v="0.9375"/>
    <x v="1"/>
    <n v="9000"/>
    <n v="1320"/>
  </r>
  <r>
    <x v="240"/>
    <d v="2026-01-23T00:00:00"/>
    <d v="2026-01-23T00:00:00"/>
    <d v="1899-12-30T11:00:00"/>
    <d v="1899-12-30T12:00:00"/>
    <x v="0"/>
    <s v="OP241"/>
    <s v="Rio de Janeiro"/>
    <s v="PROD_C"/>
    <s v="Conjunto Gama"/>
    <x v="2"/>
    <s v="LINHA02"/>
    <n v="80"/>
    <n v="45"/>
    <n v="60"/>
    <n v="14"/>
    <x v="9"/>
    <n v="64"/>
    <n v="64"/>
    <n v="0"/>
    <s v="OP104"/>
    <s v="Anna"/>
    <n v="120"/>
    <x v="4"/>
    <n v="46"/>
    <n v="0.76666666666666705"/>
    <n v="1.0434782608695701"/>
    <n v="1"/>
    <n v="0.80000000000000404"/>
    <x v="11"/>
    <n v="7680"/>
    <n v="2240"/>
  </r>
  <r>
    <x v="241"/>
    <d v="2026-01-23T00:00:00"/>
    <d v="2026-01-23T00:00:00"/>
    <d v="1899-12-30T12:00:00"/>
    <d v="1899-12-30T13:00:00"/>
    <x v="1"/>
    <s v="OP242"/>
    <s v="Para"/>
    <s v="PROD_A"/>
    <s v="Componente Alfa"/>
    <x v="0"/>
    <s v="LINHA01"/>
    <n v="100"/>
    <n v="36"/>
    <n v="60"/>
    <n v="0"/>
    <x v="1"/>
    <n v="90"/>
    <n v="88"/>
    <n v="2"/>
    <s v="OP201"/>
    <s v="Lucia"/>
    <n v="50"/>
    <x v="14"/>
    <n v="60"/>
    <n v="1"/>
    <n v="0.9"/>
    <n v="0.97777777777777797"/>
    <n v="0.88"/>
    <x v="1"/>
    <n v="4400"/>
    <n v="100"/>
  </r>
  <r>
    <x v="242"/>
    <d v="2026-01-23T00:00:00"/>
    <d v="2026-01-23T00:00:00"/>
    <d v="1899-12-30T13:00:00"/>
    <d v="1899-12-30T14:00:00"/>
    <x v="1"/>
    <s v="OP243"/>
    <s v="Mato Grosso do Sul"/>
    <s v="PROD_A"/>
    <s v="Componente Alfa"/>
    <x v="0"/>
    <s v="LINHA01"/>
    <n v="100"/>
    <n v="36"/>
    <n v="60"/>
    <n v="9"/>
    <x v="10"/>
    <n v="86"/>
    <n v="86"/>
    <n v="0"/>
    <s v="OP202"/>
    <s v="Mariana"/>
    <n v="50"/>
    <x v="4"/>
    <n v="51"/>
    <n v="0.85"/>
    <n v="1.01176470588235"/>
    <n v="1"/>
    <n v="0.85999999999999799"/>
    <x v="0"/>
    <n v="4300"/>
    <n v="750"/>
  </r>
  <r>
    <x v="243"/>
    <d v="2026-01-23T00:00:00"/>
    <d v="2026-01-23T00:00:00"/>
    <d v="1899-12-30T14:00:00"/>
    <d v="1899-12-30T15:00:00"/>
    <x v="1"/>
    <s v="OP244"/>
    <s v="Para"/>
    <s v="PROD_B"/>
    <s v="Peca Beta"/>
    <x v="1"/>
    <s v="LINHA01"/>
    <n v="120"/>
    <n v="30"/>
    <n v="60"/>
    <n v="0"/>
    <x v="1"/>
    <n v="124"/>
    <n v="119"/>
    <n v="5"/>
    <s v="OP203"/>
    <s v="Jorge"/>
    <n v="80"/>
    <x v="3"/>
    <n v="60"/>
    <n v="1"/>
    <n v="1.0333333333333301"/>
    <n v="0.95967741935483897"/>
    <n v="0.99166666666666403"/>
    <x v="1"/>
    <n v="9520"/>
    <n v="400"/>
  </r>
  <r>
    <x v="244"/>
    <d v="2026-01-23T00:00:00"/>
    <d v="2026-01-23T00:00:00"/>
    <d v="1899-12-30T15:00:00"/>
    <d v="1899-12-30T16:00:00"/>
    <x v="1"/>
    <s v="OP245"/>
    <s v="Rio de Janeiro"/>
    <s v="PROD_B"/>
    <s v="Peca Beta"/>
    <x v="1"/>
    <s v="LINHA01"/>
    <n v="120"/>
    <n v="30"/>
    <n v="60"/>
    <n v="13"/>
    <x v="11"/>
    <n v="76"/>
    <n v="66"/>
    <n v="10"/>
    <s v="OP201"/>
    <s v="Lucia"/>
    <n v="80"/>
    <x v="41"/>
    <n v="47"/>
    <n v="0.78333333333333299"/>
    <n v="0.80851063829787195"/>
    <n v="0.86842105263157898"/>
    <n v="0.54999999999999905"/>
    <x v="50"/>
    <n v="5280"/>
    <n v="2880"/>
  </r>
  <r>
    <x v="245"/>
    <d v="2026-01-23T00:00:00"/>
    <d v="2026-01-23T00:00:00"/>
    <d v="1899-12-30T17:00:00"/>
    <d v="1899-12-30T18:00:00"/>
    <x v="2"/>
    <s v="OP246"/>
    <s v="Rio de Janeiro"/>
    <s v="PROD_C"/>
    <s v="Conjunto Gama"/>
    <x v="2"/>
    <s v="LINHA02"/>
    <n v="80"/>
    <n v="45"/>
    <n v="60"/>
    <n v="0"/>
    <x v="1"/>
    <n v="77"/>
    <n v="77"/>
    <n v="0"/>
    <s v="OP302"/>
    <s v="Jose"/>
    <n v="120"/>
    <x v="4"/>
    <n v="60"/>
    <n v="1"/>
    <n v="0.96250000000000002"/>
    <n v="1"/>
    <n v="0.96250000000000002"/>
    <x v="1"/>
    <n v="9240"/>
    <n v="0"/>
  </r>
  <r>
    <x v="246"/>
    <d v="2026-01-23T00:00:00"/>
    <d v="2026-01-23T00:00:00"/>
    <d v="1899-12-30T18:00:00"/>
    <d v="1899-12-30T19:00:00"/>
    <x v="2"/>
    <s v="OP247"/>
    <s v="Parana"/>
    <s v="PROD_C"/>
    <s v="Conjunto Gama"/>
    <x v="2"/>
    <s v="LINHA02"/>
    <n v="80"/>
    <n v="45"/>
    <n v="60"/>
    <n v="23"/>
    <x v="12"/>
    <n v="60"/>
    <n v="7"/>
    <n v="53"/>
    <s v="OP302"/>
    <s v="Jose"/>
    <n v="120"/>
    <x v="23"/>
    <n v="37"/>
    <n v="0.61666666666666703"/>
    <n v="1.21621621621622"/>
    <n v="0.116666666666667"/>
    <n v="8.7500000000000605E-2"/>
    <x v="40"/>
    <n v="840"/>
    <n v="10040"/>
  </r>
  <r>
    <x v="247"/>
    <d v="2026-01-24T00:00:00"/>
    <d v="2026-01-24T00:00:00"/>
    <d v="1899-12-30T07:00:00"/>
    <d v="1899-12-30T08:00:00"/>
    <x v="0"/>
    <s v="OP248"/>
    <s v="Parana"/>
    <s v="PROD_A"/>
    <s v="Componente Alfa"/>
    <x v="0"/>
    <s v="LINHA01"/>
    <n v="100"/>
    <n v="36"/>
    <n v="60"/>
    <n v="6"/>
    <x v="13"/>
    <n v="101"/>
    <n v="98"/>
    <n v="3"/>
    <s v="OP101"/>
    <s v="Paulo"/>
    <n v="50"/>
    <x v="0"/>
    <n v="54"/>
    <n v="0.9"/>
    <n v="1.12222222222222"/>
    <n v="0.97029702970297005"/>
    <n v="0.97999999999999798"/>
    <x v="6"/>
    <n v="4900"/>
    <n v="650"/>
  </r>
  <r>
    <x v="248"/>
    <d v="2026-01-24T00:00:00"/>
    <d v="2026-01-24T00:00:00"/>
    <d v="1899-12-30T08:00:00"/>
    <d v="1899-12-30T09:00:00"/>
    <x v="0"/>
    <s v="OP249"/>
    <s v="Bahia"/>
    <s v="PROD_A"/>
    <s v="Componente Alfa"/>
    <x v="0"/>
    <s v="LINHA01"/>
    <n v="100"/>
    <n v="36"/>
    <n v="60"/>
    <n v="0"/>
    <x v="1"/>
    <n v="91"/>
    <n v="91"/>
    <n v="0"/>
    <s v="OP101"/>
    <s v="Paulo"/>
    <n v="50"/>
    <x v="4"/>
    <n v="60"/>
    <n v="1"/>
    <n v="0.91"/>
    <n v="1"/>
    <n v="0.91"/>
    <x v="1"/>
    <n v="4550"/>
    <n v="0"/>
  </r>
  <r>
    <x v="249"/>
    <d v="2026-01-24T00:00:00"/>
    <d v="2026-01-24T00:00:00"/>
    <d v="1899-12-30T09:00:00"/>
    <d v="1899-12-30T10:00:00"/>
    <x v="0"/>
    <s v="OP250"/>
    <s v="Parana"/>
    <s v="PROD_A"/>
    <s v="Componente Alfa"/>
    <x v="0"/>
    <s v="LINHA01"/>
    <n v="100"/>
    <n v="36"/>
    <n v="60"/>
    <n v="10"/>
    <x v="0"/>
    <n v="87"/>
    <n v="85"/>
    <n v="2"/>
    <s v="OP101"/>
    <s v="Paulo"/>
    <n v="50"/>
    <x v="14"/>
    <n v="50"/>
    <n v="0.83333333333333404"/>
    <n v="1.044"/>
    <n v="0.97701149425287404"/>
    <n v="0.85000000000000098"/>
    <x v="18"/>
    <n v="4250"/>
    <n v="933.33330000000001"/>
  </r>
  <r>
    <x v="250"/>
    <d v="2026-01-24T00:00:00"/>
    <d v="2026-01-24T00:00:00"/>
    <d v="1899-12-30T10:00:00"/>
    <d v="1899-12-30T11:00:00"/>
    <x v="0"/>
    <s v="OP251"/>
    <s v="Minas Gerais"/>
    <s v="PROD_A"/>
    <s v="Componente Alfa"/>
    <x v="0"/>
    <s v="LINHA01"/>
    <n v="100"/>
    <n v="36"/>
    <n v="60"/>
    <n v="16"/>
    <x v="2"/>
    <n v="75"/>
    <n v="68"/>
    <n v="7"/>
    <s v="OP102"/>
    <s v="Davi"/>
    <n v="50"/>
    <x v="2"/>
    <n v="44"/>
    <n v="0.73333333333333295"/>
    <n v="1.02272727272727"/>
    <n v="0.90666666666666595"/>
    <n v="0.67999999999999705"/>
    <x v="32"/>
    <n v="3400"/>
    <n v="1683.3333"/>
  </r>
  <r>
    <x v="251"/>
    <d v="2026-01-24T00:00:00"/>
    <d v="2026-01-24T00:00:00"/>
    <d v="1899-12-30T11:00:00"/>
    <d v="1899-12-30T12:00:00"/>
    <x v="0"/>
    <s v="OP252"/>
    <s v="Parana"/>
    <s v="PROD_B"/>
    <s v="Peca Beta"/>
    <x v="1"/>
    <s v="LINHA01"/>
    <n v="120"/>
    <n v="30"/>
    <n v="60"/>
    <n v="2"/>
    <x v="3"/>
    <n v="100"/>
    <n v="94"/>
    <n v="6"/>
    <s v="OP103"/>
    <s v="Joao"/>
    <n v="80"/>
    <x v="24"/>
    <n v="58"/>
    <n v="0.96666666666666701"/>
    <n v="0.86206896551724099"/>
    <n v="0.94"/>
    <n v="0.78333333333333299"/>
    <x v="3"/>
    <n v="7520"/>
    <n v="800"/>
  </r>
  <r>
    <x v="252"/>
    <d v="2026-01-24T00:00:00"/>
    <d v="2026-01-24T00:00:00"/>
    <d v="1899-12-30T12:00:00"/>
    <d v="1899-12-30T13:00:00"/>
    <x v="1"/>
    <s v="OP253"/>
    <s v="Bahia"/>
    <s v="PROD_C"/>
    <s v="Conjunto Gama"/>
    <x v="2"/>
    <s v="LINHA02"/>
    <n v="80"/>
    <n v="45"/>
    <n v="60"/>
    <n v="12"/>
    <x v="0"/>
    <n v="69"/>
    <n v="69"/>
    <n v="0"/>
    <s v="OP201"/>
    <s v="Lucia"/>
    <n v="120"/>
    <x v="4"/>
    <n v="48"/>
    <n v="0.8"/>
    <n v="1.078125"/>
    <n v="1"/>
    <n v="0.86250000000000004"/>
    <x v="22"/>
    <n v="8280"/>
    <n v="1920"/>
  </r>
  <r>
    <x v="253"/>
    <d v="2026-01-24T00:00:00"/>
    <d v="2026-01-24T00:00:00"/>
    <d v="1899-12-30T13:00:00"/>
    <d v="1899-12-30T14:00:00"/>
    <x v="1"/>
    <s v="OP254"/>
    <s v="Piaui"/>
    <s v="PROD_C"/>
    <s v="Conjunto Gama"/>
    <x v="2"/>
    <s v="LINHA02"/>
    <n v="80"/>
    <n v="45"/>
    <n v="60"/>
    <n v="31"/>
    <x v="5"/>
    <n v="48"/>
    <n v="0"/>
    <n v="48"/>
    <s v="OP202"/>
    <s v="Mariana"/>
    <n v="120"/>
    <x v="42"/>
    <n v="29"/>
    <n v="0.483333333333333"/>
    <n v="1.2413793103448301"/>
    <n v="0"/>
    <n v="0"/>
    <x v="24"/>
    <n v="0"/>
    <n v="10720"/>
  </r>
  <r>
    <x v="254"/>
    <d v="2026-01-24T00:00:00"/>
    <d v="2026-01-24T00:00:00"/>
    <d v="1899-12-30T14:00:00"/>
    <d v="1899-12-30T15:00:00"/>
    <x v="1"/>
    <s v="OP255"/>
    <s v="Rio de Janeiro"/>
    <s v="PROD_A"/>
    <s v="Componente Alfa"/>
    <x v="0"/>
    <s v="LINHA01"/>
    <n v="100"/>
    <n v="36"/>
    <n v="60"/>
    <n v="9"/>
    <x v="0"/>
    <n v="83"/>
    <n v="81"/>
    <n v="2"/>
    <s v="OP203"/>
    <s v="Jorge"/>
    <n v="50"/>
    <x v="14"/>
    <n v="51"/>
    <n v="0.85"/>
    <n v="0.97647058823529398"/>
    <n v="0.97590361445783103"/>
    <n v="0.81"/>
    <x v="0"/>
    <n v="4050"/>
    <n v="850"/>
  </r>
  <r>
    <x v="255"/>
    <d v="2026-01-24T00:00:00"/>
    <d v="2026-01-24T00:00:00"/>
    <d v="1899-12-30T15:00:00"/>
    <d v="1899-12-30T16:00:00"/>
    <x v="1"/>
    <s v="OP256"/>
    <s v="Piaui"/>
    <s v="PROD_A"/>
    <s v="Componente Alfa"/>
    <x v="0"/>
    <s v="LINHA01"/>
    <n v="100"/>
    <n v="36"/>
    <n v="60"/>
    <n v="3"/>
    <x v="6"/>
    <n v="99"/>
    <n v="99"/>
    <n v="0"/>
    <s v="OP301"/>
    <s v="Luis"/>
    <n v="50"/>
    <x v="4"/>
    <n v="57"/>
    <n v="0.95"/>
    <n v="1.04210526315789"/>
    <n v="1"/>
    <n v="0.98999999999999599"/>
    <x v="17"/>
    <n v="4950"/>
    <n v="250"/>
  </r>
  <r>
    <x v="256"/>
    <d v="2026-01-25T00:00:00"/>
    <d v="2026-01-25T00:00:00"/>
    <d v="1899-12-30T07:00:00"/>
    <d v="1899-12-30T08:00:00"/>
    <x v="0"/>
    <s v="OP257"/>
    <s v="Piaui"/>
    <s v="PROD_A"/>
    <s v="Componente Alfa"/>
    <x v="0"/>
    <s v="LINHA01"/>
    <n v="100"/>
    <n v="36"/>
    <n v="60"/>
    <n v="8"/>
    <x v="0"/>
    <n v="82"/>
    <n v="80"/>
    <n v="2"/>
    <s v="OP101"/>
    <s v="Paulo"/>
    <n v="50"/>
    <x v="14"/>
    <n v="52"/>
    <n v="0.86666666666666703"/>
    <n v="0.94615384615384601"/>
    <n v="0.97560975609756095"/>
    <n v="0.8"/>
    <x v="25"/>
    <n v="4000"/>
    <n v="766.66669999999999"/>
  </r>
  <r>
    <x v="257"/>
    <d v="2026-01-25T00:00:00"/>
    <d v="2026-01-25T00:00:00"/>
    <d v="1899-12-30T08:00:00"/>
    <d v="1899-12-30T09:00:00"/>
    <x v="0"/>
    <s v="OP258"/>
    <s v="Goias"/>
    <s v="PROD_A"/>
    <s v="Componente Alfa"/>
    <x v="0"/>
    <s v="LINHA01"/>
    <n v="100"/>
    <n v="36"/>
    <n v="60"/>
    <n v="0"/>
    <x v="1"/>
    <n v="100"/>
    <n v="99"/>
    <n v="1"/>
    <s v="OP101"/>
    <s v="Paulo"/>
    <n v="50"/>
    <x v="1"/>
    <n v="60"/>
    <n v="1"/>
    <n v="1"/>
    <n v="0.99"/>
    <n v="0.99"/>
    <x v="1"/>
    <n v="4950"/>
    <n v="50"/>
  </r>
  <r>
    <x v="258"/>
    <d v="2026-01-25T00:00:00"/>
    <d v="2026-01-25T00:00:00"/>
    <d v="1899-12-30T09:00:00"/>
    <d v="1899-12-30T10:00:00"/>
    <x v="0"/>
    <s v="OP259"/>
    <s v="Minas Gerais"/>
    <s v="PROD_A"/>
    <s v="Componente Alfa"/>
    <x v="0"/>
    <s v="LINHA01"/>
    <n v="100"/>
    <n v="36"/>
    <n v="60"/>
    <n v="15"/>
    <x v="2"/>
    <n v="72"/>
    <n v="67"/>
    <n v="5"/>
    <s v="OP102"/>
    <s v="Davi"/>
    <n v="50"/>
    <x v="21"/>
    <n v="45"/>
    <n v="0.75"/>
    <n v="0.96"/>
    <n v="0.93055555555555602"/>
    <n v="0.67"/>
    <x v="42"/>
    <n v="3350"/>
    <n v="1500"/>
  </r>
  <r>
    <x v="259"/>
    <d v="2026-01-25T00:00:00"/>
    <d v="2026-01-25T00:00:00"/>
    <d v="1899-12-30T10:00:00"/>
    <d v="1899-12-30T11:00:00"/>
    <x v="0"/>
    <s v="OP260"/>
    <s v="Para"/>
    <s v="PROD_B"/>
    <s v="Peca Beta"/>
    <x v="1"/>
    <s v="LINHA01"/>
    <n v="120"/>
    <n v="30"/>
    <n v="60"/>
    <n v="1"/>
    <x v="3"/>
    <n v="121"/>
    <n v="118"/>
    <n v="3"/>
    <s v="OP103"/>
    <s v="Joao"/>
    <n v="80"/>
    <x v="10"/>
    <n v="59"/>
    <n v="0.98333333333333295"/>
    <n v="1.0254237288135599"/>
    <n v="0.97520661157024802"/>
    <n v="0.98333333333333395"/>
    <x v="14"/>
    <n v="9440"/>
    <n v="400"/>
  </r>
  <r>
    <x v="260"/>
    <d v="2026-01-25T00:00:00"/>
    <d v="2026-01-25T00:00:00"/>
    <d v="1899-12-30T11:00:00"/>
    <d v="1899-12-30T12:00:00"/>
    <x v="0"/>
    <s v="OP261"/>
    <s v="Parana"/>
    <s v="PROD_B"/>
    <s v="Peca Beta"/>
    <x v="1"/>
    <s v="LINHA01"/>
    <n v="120"/>
    <n v="30"/>
    <n v="60"/>
    <n v="0"/>
    <x v="1"/>
    <n v="111"/>
    <n v="111"/>
    <n v="0"/>
    <s v="OP103"/>
    <s v="Joao"/>
    <n v="80"/>
    <x v="4"/>
    <n v="60"/>
    <n v="1"/>
    <n v="0.92500000000000004"/>
    <n v="1"/>
    <n v="0.92500000000000004"/>
    <x v="1"/>
    <n v="8880"/>
    <n v="0"/>
  </r>
  <r>
    <x v="261"/>
    <d v="2026-01-25T00:00:00"/>
    <d v="2026-01-25T00:00:00"/>
    <d v="1899-12-30T12:00:00"/>
    <d v="1899-12-30T13:00:00"/>
    <x v="0"/>
    <s v="OP262"/>
    <s v="Parana"/>
    <s v="PROD_B"/>
    <s v="Peca Beta"/>
    <x v="1"/>
    <s v="LINHA01"/>
    <n v="120"/>
    <n v="30"/>
    <n v="60"/>
    <n v="4"/>
    <x v="4"/>
    <n v="99"/>
    <n v="94"/>
    <n v="5"/>
    <s v="OP104"/>
    <s v="Anna"/>
    <n v="80"/>
    <x v="3"/>
    <n v="56"/>
    <n v="0.93333333333333302"/>
    <n v="0.88392857142857095"/>
    <n v="0.94949494949494995"/>
    <n v="0.78333333333333299"/>
    <x v="33"/>
    <n v="7520"/>
    <n v="1040"/>
  </r>
  <r>
    <x v="262"/>
    <d v="2026-01-25T00:00:00"/>
    <d v="2026-01-25T00:00:00"/>
    <d v="1899-12-30T13:00:00"/>
    <d v="1899-12-30T14:00:00"/>
    <x v="1"/>
    <s v="OP263"/>
    <s v="Para"/>
    <s v="PROD_C"/>
    <s v="Conjunto Gama"/>
    <x v="2"/>
    <s v="LINHA02"/>
    <n v="80"/>
    <n v="45"/>
    <n v="60"/>
    <n v="8"/>
    <x v="0"/>
    <n v="77"/>
    <n v="77"/>
    <n v="0"/>
    <s v="OP201"/>
    <s v="Lucia"/>
    <n v="120"/>
    <x v="4"/>
    <n v="52"/>
    <n v="0.86666666666666703"/>
    <n v="1.11057692307692"/>
    <n v="1"/>
    <n v="0.96249999999999802"/>
    <x v="4"/>
    <n v="9240"/>
    <n v="1280"/>
  </r>
  <r>
    <x v="263"/>
    <d v="2026-01-25T00:00:00"/>
    <d v="2026-01-25T00:00:00"/>
    <d v="1899-12-30T14:00:00"/>
    <d v="1899-12-30T15:00:00"/>
    <x v="1"/>
    <s v="OP264"/>
    <s v="Bahia"/>
    <s v="PROD_C"/>
    <s v="Conjunto Gama"/>
    <x v="2"/>
    <s v="LINHA02"/>
    <n v="80"/>
    <n v="45"/>
    <n v="60"/>
    <n v="0"/>
    <x v="1"/>
    <n v="79"/>
    <n v="75"/>
    <n v="4"/>
    <s v="OP201"/>
    <s v="Lucia"/>
    <n v="120"/>
    <x v="24"/>
    <n v="60"/>
    <n v="1"/>
    <n v="0.98750000000000004"/>
    <n v="0.949367088607595"/>
    <n v="0.9375"/>
    <x v="1"/>
    <n v="9000"/>
    <n v="480"/>
  </r>
  <r>
    <x v="264"/>
    <d v="2026-01-25T00:00:00"/>
    <d v="2026-01-25T00:00:00"/>
    <d v="1899-12-30T15:00:00"/>
    <d v="1899-12-30T16:00:00"/>
    <x v="1"/>
    <s v="OP265"/>
    <s v="Goias"/>
    <s v="PROD_C"/>
    <s v="Conjunto Gama"/>
    <x v="2"/>
    <s v="LINHA02"/>
    <n v="80"/>
    <n v="45"/>
    <n v="60"/>
    <n v="39"/>
    <x v="5"/>
    <n v="53"/>
    <n v="0"/>
    <n v="53"/>
    <s v="OP202"/>
    <s v="Mariana"/>
    <n v="120"/>
    <x v="23"/>
    <n v="21"/>
    <n v="0.35"/>
    <n v="1.8928571428571399"/>
    <n v="0"/>
    <n v="0"/>
    <x v="51"/>
    <n v="0"/>
    <n v="12600"/>
  </r>
  <r>
    <x v="265"/>
    <d v="2026-01-25T00:00:00"/>
    <d v="2026-01-25T00:00:00"/>
    <d v="1899-12-30T16:00:00"/>
    <d v="1899-12-30T17:00:00"/>
    <x v="1"/>
    <s v="OP266"/>
    <s v="Para"/>
    <s v="PROD_A"/>
    <s v="Componente Alfa"/>
    <x v="0"/>
    <s v="LINHA01"/>
    <n v="100"/>
    <n v="36"/>
    <n v="60"/>
    <n v="7"/>
    <x v="0"/>
    <n v="91"/>
    <n v="88"/>
    <n v="3"/>
    <s v="OP203"/>
    <s v="Jorge"/>
    <n v="50"/>
    <x v="0"/>
    <n v="53"/>
    <n v="0.88333333333333297"/>
    <n v="1.0301886792452799"/>
    <n v="0.96703296703296704"/>
    <n v="0.87999999999999701"/>
    <x v="27"/>
    <n v="4400"/>
    <n v="733.33330000000001"/>
  </r>
  <r>
    <x v="266"/>
    <d v="2026-01-25T00:00:00"/>
    <d v="2026-01-25T00:00:00"/>
    <d v="1899-12-30T17:00:00"/>
    <d v="1899-12-30T18:00:00"/>
    <x v="1"/>
    <s v="OP267"/>
    <s v="Para"/>
    <s v="PROD_A"/>
    <s v="Componente Alfa"/>
    <x v="0"/>
    <s v="LINHA01"/>
    <n v="100"/>
    <n v="36"/>
    <n v="60"/>
    <n v="0"/>
    <x v="1"/>
    <n v="103"/>
    <n v="102"/>
    <n v="1"/>
    <s v="OP301"/>
    <s v="Luis"/>
    <n v="50"/>
    <x v="1"/>
    <n v="60"/>
    <n v="1"/>
    <n v="1.03"/>
    <n v="0.990291262135922"/>
    <n v="1.02"/>
    <x v="1"/>
    <n v="5100"/>
    <n v="50"/>
  </r>
  <r>
    <x v="267"/>
    <d v="2026-01-25T00:00:00"/>
    <d v="2026-01-25T00:00:00"/>
    <d v="1899-12-30T17:00:00"/>
    <d v="1899-12-30T18:00:00"/>
    <x v="1"/>
    <s v="OP268"/>
    <s v="Parana"/>
    <s v="PROD_A"/>
    <s v="Componente Alfa"/>
    <x v="0"/>
    <s v="LINHA01"/>
    <n v="100"/>
    <n v="36"/>
    <n v="60"/>
    <n v="2"/>
    <x v="6"/>
    <n v="94"/>
    <n v="94"/>
    <n v="0"/>
    <s v="OP301"/>
    <s v="Luis"/>
    <n v="50"/>
    <x v="4"/>
    <n v="58"/>
    <n v="0.96666666666666701"/>
    <n v="0.972413793103448"/>
    <n v="1"/>
    <n v="0.94"/>
    <x v="21"/>
    <n v="4700"/>
    <n v="166.66669999999999"/>
  </r>
  <r>
    <x v="268"/>
    <d v="2026-01-26T00:00:00"/>
    <d v="2026-01-26T00:00:00"/>
    <d v="1899-12-30T07:00:00"/>
    <d v="1899-12-30T08:00:00"/>
    <x v="0"/>
    <s v="OP269"/>
    <s v="Mato Grosso do Sul"/>
    <s v="PROD_B"/>
    <s v="Peca Beta"/>
    <x v="1"/>
    <s v="LINHA01"/>
    <n v="120"/>
    <n v="30"/>
    <n v="60"/>
    <n v="0"/>
    <x v="1"/>
    <n v="108"/>
    <n v="102"/>
    <n v="6"/>
    <s v="OP101"/>
    <s v="Paulo"/>
    <n v="80"/>
    <x v="24"/>
    <n v="60"/>
    <n v="1"/>
    <n v="0.9"/>
    <n v="0.94444444444444398"/>
    <n v="0.85"/>
    <x v="1"/>
    <n v="8160"/>
    <n v="480"/>
  </r>
  <r>
    <x v="269"/>
    <d v="2026-01-26T00:00:00"/>
    <d v="2026-01-26T00:00:00"/>
    <d v="1899-12-30T08:00:00"/>
    <d v="1899-12-30T09:00:00"/>
    <x v="0"/>
    <s v="OP270"/>
    <s v="Parana"/>
    <s v="PROD_B"/>
    <s v="Peca Beta"/>
    <x v="1"/>
    <s v="LINHA01"/>
    <n v="120"/>
    <n v="30"/>
    <n v="60"/>
    <n v="12"/>
    <x v="7"/>
    <n v="0"/>
    <n v="0"/>
    <n v="0"/>
    <s v="OP102"/>
    <s v="Davi"/>
    <n v="80"/>
    <x v="4"/>
    <n v="48"/>
    <n v="0.8"/>
    <n v="0"/>
    <n v="0"/>
    <n v="0"/>
    <x v="22"/>
    <n v="0"/>
    <n v="1920"/>
  </r>
  <r>
    <x v="270"/>
    <d v="2026-01-26T00:00:00"/>
    <d v="2026-01-26T00:00:00"/>
    <d v="1899-12-30T09:00:00"/>
    <d v="1899-12-30T10:00:00"/>
    <x v="0"/>
    <s v="OP271"/>
    <s v="Sao Paulo"/>
    <s v="PROD_B"/>
    <s v="Peca Beta"/>
    <x v="1"/>
    <s v="LINHA01"/>
    <n v="120"/>
    <n v="30"/>
    <n v="60"/>
    <n v="1"/>
    <x v="8"/>
    <n v="109"/>
    <n v="108"/>
    <n v="1"/>
    <s v="OP102"/>
    <s v="Davi"/>
    <n v="80"/>
    <x v="30"/>
    <n v="59"/>
    <n v="0.98333333333333295"/>
    <n v="0.92372881355932202"/>
    <n v="0.990825688073394"/>
    <n v="0.89999999999999902"/>
    <x v="14"/>
    <n v="8640"/>
    <n v="240"/>
  </r>
  <r>
    <x v="271"/>
    <d v="2026-01-26T00:00:00"/>
    <d v="2026-01-26T00:00:00"/>
    <d v="1899-12-30T10:00:00"/>
    <d v="1899-12-30T11:00:00"/>
    <x v="0"/>
    <s v="OP272"/>
    <s v="Parana"/>
    <s v="PROD_C"/>
    <s v="Conjunto Gama"/>
    <x v="2"/>
    <s v="LINHA02"/>
    <n v="80"/>
    <n v="45"/>
    <n v="60"/>
    <n v="0"/>
    <x v="1"/>
    <n v="83"/>
    <n v="74"/>
    <n v="9"/>
    <s v="OP103"/>
    <s v="Joao"/>
    <n v="120"/>
    <x v="6"/>
    <n v="60"/>
    <n v="1"/>
    <n v="1.0375000000000001"/>
    <n v="0.89156626506024095"/>
    <n v="0.92500000000000004"/>
    <x v="1"/>
    <n v="8880"/>
    <n v="1080"/>
  </r>
  <r>
    <x v="272"/>
    <d v="2026-01-26T00:00:00"/>
    <d v="2026-01-26T00:00:00"/>
    <d v="1899-12-30T11:00:00"/>
    <d v="1899-12-30T12:00:00"/>
    <x v="0"/>
    <s v="OP273"/>
    <s v="Minas Gerais"/>
    <s v="PROD_C"/>
    <s v="Conjunto Gama"/>
    <x v="2"/>
    <s v="LINHA02"/>
    <n v="80"/>
    <n v="45"/>
    <n v="60"/>
    <n v="11"/>
    <x v="9"/>
    <n v="65"/>
    <n v="65"/>
    <n v="0"/>
    <s v="OP104"/>
    <s v="Anna"/>
    <n v="120"/>
    <x v="4"/>
    <n v="49"/>
    <n v="0.81666666666666698"/>
    <n v="0.99489795918367396"/>
    <n v="1"/>
    <n v="0.812500000000001"/>
    <x v="19"/>
    <n v="7800"/>
    <n v="1760"/>
  </r>
  <r>
    <x v="273"/>
    <d v="2026-01-26T00:00:00"/>
    <d v="2026-01-26T00:00:00"/>
    <d v="1899-12-30T12:00:00"/>
    <d v="1899-12-30T13:00:00"/>
    <x v="1"/>
    <s v="OP274"/>
    <s v="Mato Grosso do Sul"/>
    <s v="PROD_A"/>
    <s v="Componente Alfa"/>
    <x v="0"/>
    <s v="LINHA01"/>
    <n v="100"/>
    <n v="36"/>
    <n v="60"/>
    <n v="0"/>
    <x v="1"/>
    <n v="96"/>
    <n v="93"/>
    <n v="3"/>
    <s v="OP201"/>
    <s v="Lucia"/>
    <n v="50"/>
    <x v="0"/>
    <n v="60"/>
    <n v="1"/>
    <n v="0.96"/>
    <n v="0.96875"/>
    <n v="0.93"/>
    <x v="1"/>
    <n v="4650"/>
    <n v="150"/>
  </r>
  <r>
    <x v="274"/>
    <d v="2026-01-26T00:00:00"/>
    <d v="2026-01-26T00:00:00"/>
    <d v="1899-12-30T13:00:00"/>
    <d v="1899-12-30T14:00:00"/>
    <x v="1"/>
    <s v="OP275"/>
    <s v="Para"/>
    <s v="PROD_A"/>
    <s v="Componente Alfa"/>
    <x v="0"/>
    <s v="LINHA01"/>
    <n v="100"/>
    <n v="36"/>
    <n v="60"/>
    <n v="8"/>
    <x v="10"/>
    <n v="86"/>
    <n v="86"/>
    <n v="0"/>
    <s v="OP202"/>
    <s v="Mariana"/>
    <n v="50"/>
    <x v="4"/>
    <n v="52"/>
    <n v="0.86666666666666703"/>
    <n v="0.992307692307692"/>
    <n v="1"/>
    <n v="0.86"/>
    <x v="25"/>
    <n v="4300"/>
    <n v="666.66669999999999"/>
  </r>
  <r>
    <x v="275"/>
    <d v="2026-01-26T00:00:00"/>
    <d v="2026-01-26T00:00:00"/>
    <d v="1899-12-30T14:00:00"/>
    <d v="1899-12-30T15:00:00"/>
    <x v="1"/>
    <s v="OP276"/>
    <s v="Rio de Janeiro"/>
    <s v="PROD_B"/>
    <s v="Peca Beta"/>
    <x v="1"/>
    <s v="LINHA01"/>
    <n v="120"/>
    <n v="30"/>
    <n v="60"/>
    <n v="0"/>
    <x v="1"/>
    <n v="107"/>
    <n v="101"/>
    <n v="6"/>
    <s v="OP203"/>
    <s v="Jorge"/>
    <n v="80"/>
    <x v="24"/>
    <n v="60"/>
    <n v="1"/>
    <n v="0.89166666666666705"/>
    <n v="0.94392523364486003"/>
    <n v="0.84166666666666701"/>
    <x v="1"/>
    <n v="8080"/>
    <n v="480"/>
  </r>
  <r>
    <x v="276"/>
    <d v="2026-01-26T00:00:00"/>
    <d v="2026-01-26T00:00:00"/>
    <d v="1899-12-30T15:00:00"/>
    <d v="1899-12-30T16:00:00"/>
    <x v="1"/>
    <s v="OP277"/>
    <s v="Parana"/>
    <s v="PROD_B"/>
    <s v="Peca Beta"/>
    <x v="1"/>
    <s v="LINHA01"/>
    <n v="120"/>
    <n v="30"/>
    <n v="60"/>
    <n v="9"/>
    <x v="11"/>
    <n v="86"/>
    <n v="73"/>
    <n v="13"/>
    <s v="OP201"/>
    <s v="Lucia"/>
    <n v="80"/>
    <x v="34"/>
    <n v="51"/>
    <n v="0.85"/>
    <n v="0.84313725490196101"/>
    <n v="0.84883720930232598"/>
    <n v="0.60833333333333395"/>
    <x v="15"/>
    <n v="5840"/>
    <n v="2480"/>
  </r>
  <r>
    <x v="277"/>
    <d v="2026-01-26T00:00:00"/>
    <d v="2026-01-26T00:00:00"/>
    <d v="1899-12-30T17:00:00"/>
    <d v="1899-12-30T18:00:00"/>
    <x v="2"/>
    <s v="OP278"/>
    <s v="Piaui"/>
    <s v="PROD_C"/>
    <s v="Conjunto Gama"/>
    <x v="2"/>
    <s v="LINHA02"/>
    <n v="80"/>
    <n v="45"/>
    <n v="60"/>
    <n v="0"/>
    <x v="1"/>
    <n v="81"/>
    <n v="81"/>
    <n v="0"/>
    <s v="OP302"/>
    <s v="Jose"/>
    <n v="120"/>
    <x v="4"/>
    <n v="60"/>
    <n v="1"/>
    <n v="1.0125"/>
    <n v="1"/>
    <n v="1.0125"/>
    <x v="1"/>
    <n v="9720"/>
    <n v="0"/>
  </r>
  <r>
    <x v="278"/>
    <d v="2026-01-26T00:00:00"/>
    <d v="2026-01-26T00:00:00"/>
    <d v="1899-12-30T18:00:00"/>
    <d v="1899-12-30T19:00:00"/>
    <x v="2"/>
    <s v="OP279"/>
    <s v="Bahia"/>
    <s v="PROD_C"/>
    <s v="Conjunto Gama"/>
    <x v="2"/>
    <s v="LINHA02"/>
    <n v="80"/>
    <n v="45"/>
    <n v="60"/>
    <n v="32"/>
    <x v="12"/>
    <n v="64"/>
    <n v="44"/>
    <n v="20"/>
    <s v="OP302"/>
    <s v="Jose"/>
    <n v="120"/>
    <x v="43"/>
    <n v="28"/>
    <n v="0.46666666666666701"/>
    <n v="1.71428571428571"/>
    <n v="0.6875"/>
    <n v="0.54999999999999905"/>
    <x v="31"/>
    <n v="5280"/>
    <n v="7520"/>
  </r>
  <r>
    <x v="279"/>
    <d v="2026-01-27T00:00:00"/>
    <d v="2026-01-27T00:00:00"/>
    <d v="1899-12-30T07:00:00"/>
    <d v="1899-12-30T08:00:00"/>
    <x v="0"/>
    <s v="OP280"/>
    <s v="Rio de Janeiro"/>
    <s v="PROD_A"/>
    <s v="Componente Alfa"/>
    <x v="0"/>
    <s v="LINHA01"/>
    <n v="100"/>
    <n v="36"/>
    <n v="60"/>
    <n v="7"/>
    <x v="13"/>
    <n v="93"/>
    <n v="91"/>
    <n v="2"/>
    <s v="OP101"/>
    <s v="Paulo"/>
    <n v="50"/>
    <x v="14"/>
    <n v="53"/>
    <n v="0.88333333333333297"/>
    <n v="1.0528301886792499"/>
    <n v="0.978494623655914"/>
    <n v="0.91000000000000403"/>
    <x v="27"/>
    <n v="4550"/>
    <n v="683.33330000000001"/>
  </r>
  <r>
    <x v="280"/>
    <d v="2026-01-27T00:00:00"/>
    <d v="2026-01-27T00:00:00"/>
    <d v="1899-12-30T08:00:00"/>
    <d v="1899-12-30T09:00:00"/>
    <x v="0"/>
    <s v="OP281"/>
    <s v="Piaui"/>
    <s v="PROD_A"/>
    <s v="Componente Alfa"/>
    <x v="0"/>
    <s v="LINHA01"/>
    <n v="100"/>
    <n v="36"/>
    <n v="60"/>
    <n v="0"/>
    <x v="1"/>
    <n v="102"/>
    <n v="102"/>
    <n v="0"/>
    <s v="OP101"/>
    <s v="Paulo"/>
    <n v="50"/>
    <x v="4"/>
    <n v="60"/>
    <n v="1"/>
    <n v="1.02"/>
    <n v="1"/>
    <n v="1.02"/>
    <x v="1"/>
    <n v="5100"/>
    <n v="0"/>
  </r>
  <r>
    <x v="281"/>
    <d v="2026-01-27T00:00:00"/>
    <d v="2026-01-27T00:00:00"/>
    <d v="1899-12-30T09:00:00"/>
    <d v="1899-12-30T10:00:00"/>
    <x v="0"/>
    <s v="OP282"/>
    <s v="Para"/>
    <s v="PROD_A"/>
    <s v="Componente Alfa"/>
    <x v="0"/>
    <s v="LINHA01"/>
    <n v="100"/>
    <n v="36"/>
    <n v="60"/>
    <n v="8"/>
    <x v="0"/>
    <n v="86"/>
    <n v="84"/>
    <n v="2"/>
    <s v="OP101"/>
    <s v="Paulo"/>
    <n v="50"/>
    <x v="14"/>
    <n v="52"/>
    <n v="0.86666666666666703"/>
    <n v="0.992307692307692"/>
    <n v="0.97674418604651203"/>
    <n v="0.84"/>
    <x v="25"/>
    <n v="4200"/>
    <n v="766.66669999999999"/>
  </r>
  <r>
    <x v="282"/>
    <d v="2026-01-27T00:00:00"/>
    <d v="2026-01-27T00:00:00"/>
    <d v="1899-12-30T10:00:00"/>
    <d v="1899-12-30T11:00:00"/>
    <x v="0"/>
    <s v="OP283"/>
    <s v="Sao Paulo"/>
    <s v="PROD_A"/>
    <s v="Componente Alfa"/>
    <x v="0"/>
    <s v="LINHA01"/>
    <n v="100"/>
    <n v="36"/>
    <n v="60"/>
    <n v="12"/>
    <x v="2"/>
    <n v="71"/>
    <n v="65"/>
    <n v="6"/>
    <s v="OP102"/>
    <s v="Davi"/>
    <n v="50"/>
    <x v="15"/>
    <n v="48"/>
    <n v="0.8"/>
    <n v="0.88749999999999996"/>
    <n v="0.91549295774647899"/>
    <n v="0.65"/>
    <x v="52"/>
    <n v="3250"/>
    <n v="1300"/>
  </r>
  <r>
    <x v="283"/>
    <d v="2026-01-27T00:00:00"/>
    <d v="2026-01-27T00:00:00"/>
    <d v="1899-12-30T11:00:00"/>
    <d v="1899-12-30T12:00:00"/>
    <x v="0"/>
    <s v="OP284"/>
    <s v="Goias"/>
    <s v="PROD_B"/>
    <s v="Peca Beta"/>
    <x v="1"/>
    <s v="LINHA01"/>
    <n v="120"/>
    <n v="30"/>
    <n v="60"/>
    <n v="3"/>
    <x v="3"/>
    <n v="118"/>
    <n v="114"/>
    <n v="4"/>
    <s v="OP103"/>
    <s v="Joao"/>
    <n v="80"/>
    <x v="8"/>
    <n v="57"/>
    <n v="0.95"/>
    <n v="1.0350877192982499"/>
    <n v="0.96610169491525399"/>
    <n v="0.95000000000000395"/>
    <x v="9"/>
    <n v="9120"/>
    <n v="800"/>
  </r>
  <r>
    <x v="284"/>
    <d v="2026-01-27T00:00:00"/>
    <d v="2026-01-27T00:00:00"/>
    <d v="1899-12-30T12:00:00"/>
    <d v="1899-12-30T13:00:00"/>
    <x v="1"/>
    <s v="OP285"/>
    <s v="Piaui"/>
    <s v="PROD_C"/>
    <s v="Conjunto Gama"/>
    <x v="2"/>
    <s v="LINHA02"/>
    <n v="80"/>
    <n v="45"/>
    <n v="60"/>
    <n v="7"/>
    <x v="0"/>
    <n v="76"/>
    <n v="76"/>
    <n v="0"/>
    <s v="OP201"/>
    <s v="Lucia"/>
    <n v="120"/>
    <x v="4"/>
    <n v="53"/>
    <n v="0.88333333333333297"/>
    <n v="1.07547169811321"/>
    <n v="1"/>
    <n v="0.95000000000000195"/>
    <x v="36"/>
    <n v="9120"/>
    <n v="1120"/>
  </r>
  <r>
    <x v="285"/>
    <d v="2026-01-27T00:00:00"/>
    <d v="2026-01-27T00:00:00"/>
    <d v="1899-12-30T13:00:00"/>
    <d v="1899-12-30T14:00:00"/>
    <x v="1"/>
    <s v="OP286"/>
    <s v="Bahia"/>
    <s v="PROD_C"/>
    <s v="Conjunto Gama"/>
    <x v="2"/>
    <s v="LINHA02"/>
    <n v="80"/>
    <n v="45"/>
    <n v="60"/>
    <n v="40"/>
    <x v="5"/>
    <n v="51"/>
    <n v="0"/>
    <n v="51"/>
    <s v="OP202"/>
    <s v="Mariana"/>
    <n v="120"/>
    <x v="44"/>
    <n v="20"/>
    <n v="0.33333333333333298"/>
    <n v="1.9125000000000001"/>
    <n v="0"/>
    <n v="0"/>
    <x v="39"/>
    <n v="0"/>
    <n v="12520"/>
  </r>
  <r>
    <x v="286"/>
    <d v="2026-01-27T00:00:00"/>
    <d v="2026-01-27T00:00:00"/>
    <d v="1899-12-30T14:00:00"/>
    <d v="1899-12-30T15:00:00"/>
    <x v="1"/>
    <s v="OP287"/>
    <s v="Sao Paulo"/>
    <s v="PROD_A"/>
    <s v="Componente Alfa"/>
    <x v="0"/>
    <s v="LINHA01"/>
    <n v="100"/>
    <n v="36"/>
    <n v="60"/>
    <n v="8"/>
    <x v="0"/>
    <n v="87"/>
    <n v="85"/>
    <n v="2"/>
    <s v="OP203"/>
    <s v="Jorge"/>
    <n v="50"/>
    <x v="14"/>
    <n v="52"/>
    <n v="0.86666666666666703"/>
    <n v="1.0038461538461501"/>
    <n v="0.97701149425287404"/>
    <n v="0.84999999999999798"/>
    <x v="25"/>
    <n v="4250"/>
    <n v="766.66669999999999"/>
  </r>
  <r>
    <x v="287"/>
    <d v="2026-01-27T00:00:00"/>
    <d v="2026-01-27T00:00:00"/>
    <d v="1899-12-30T15:00:00"/>
    <d v="1899-12-30T16:00:00"/>
    <x v="1"/>
    <s v="OP288"/>
    <s v="Piaui"/>
    <s v="PROD_A"/>
    <s v="Componente Alfa"/>
    <x v="0"/>
    <s v="LINHA01"/>
    <n v="100"/>
    <n v="36"/>
    <n v="60"/>
    <n v="2"/>
    <x v="6"/>
    <n v="91"/>
    <n v="91"/>
    <n v="0"/>
    <s v="OP301"/>
    <s v="Luis"/>
    <n v="50"/>
    <x v="4"/>
    <n v="58"/>
    <n v="0.96666666666666701"/>
    <n v="0.94137931034482802"/>
    <n v="1"/>
    <n v="0.91000000000000103"/>
    <x v="21"/>
    <n v="4550"/>
    <n v="166.66669999999999"/>
  </r>
  <r>
    <x v="288"/>
    <d v="2026-01-28T00:00:00"/>
    <d v="2026-01-28T00:00:00"/>
    <d v="1899-12-30T07:00:00"/>
    <d v="1899-12-30T08:00:00"/>
    <x v="0"/>
    <s v="OP289"/>
    <s v="Parana"/>
    <s v="PROD_A"/>
    <s v="Componente Alfa"/>
    <x v="0"/>
    <s v="LINHA01"/>
    <n v="100"/>
    <n v="36"/>
    <n v="60"/>
    <n v="6"/>
    <x v="0"/>
    <n v="86"/>
    <n v="83"/>
    <n v="3"/>
    <s v="OP101"/>
    <s v="Paulo"/>
    <n v="50"/>
    <x v="0"/>
    <n v="54"/>
    <n v="0.9"/>
    <n v="0.95555555555555605"/>
    <n v="0.96511627906976805"/>
    <n v="0.83000000000000096"/>
    <x v="6"/>
    <n v="4150"/>
    <n v="650"/>
  </r>
  <r>
    <x v="289"/>
    <d v="2026-01-28T00:00:00"/>
    <d v="2026-01-28T00:00:00"/>
    <d v="1899-12-30T08:00:00"/>
    <d v="1899-12-30T09:00:00"/>
    <x v="0"/>
    <s v="OP290"/>
    <s v="Rio de Janeiro"/>
    <s v="PROD_A"/>
    <s v="Componente Alfa"/>
    <x v="0"/>
    <s v="LINHA01"/>
    <n v="100"/>
    <n v="36"/>
    <n v="60"/>
    <n v="0"/>
    <x v="1"/>
    <n v="97"/>
    <n v="96"/>
    <n v="1"/>
    <s v="OP101"/>
    <s v="Paulo"/>
    <n v="50"/>
    <x v="1"/>
    <n v="60"/>
    <n v="1"/>
    <n v="0.97"/>
    <n v="0.98969072164948402"/>
    <n v="0.96"/>
    <x v="1"/>
    <n v="4800"/>
    <n v="50"/>
  </r>
  <r>
    <x v="290"/>
    <d v="2026-01-28T00:00:00"/>
    <d v="2026-01-28T00:00:00"/>
    <d v="1899-12-30T09:00:00"/>
    <d v="1899-12-30T10:00:00"/>
    <x v="0"/>
    <s v="OP291"/>
    <s v="Piaui"/>
    <s v="PROD_A"/>
    <s v="Componente Alfa"/>
    <x v="0"/>
    <s v="LINHA01"/>
    <n v="100"/>
    <n v="36"/>
    <n v="60"/>
    <n v="15"/>
    <x v="2"/>
    <n v="81"/>
    <n v="74"/>
    <n v="7"/>
    <s v="OP102"/>
    <s v="Davi"/>
    <n v="50"/>
    <x v="2"/>
    <n v="45"/>
    <n v="0.75"/>
    <n v="1.08"/>
    <n v="0.91358024691357997"/>
    <n v="0.74"/>
    <x v="42"/>
    <n v="3700"/>
    <n v="1600"/>
  </r>
  <r>
    <x v="291"/>
    <d v="2026-01-28T00:00:00"/>
    <d v="2026-01-28T00:00:00"/>
    <d v="1899-12-30T10:00:00"/>
    <d v="1899-12-30T11:00:00"/>
    <x v="0"/>
    <s v="OP292"/>
    <s v="Rio de Janeiro"/>
    <s v="PROD_B"/>
    <s v="Peca Beta"/>
    <x v="1"/>
    <s v="LINHA01"/>
    <n v="120"/>
    <n v="30"/>
    <n v="60"/>
    <n v="2"/>
    <x v="3"/>
    <n v="108"/>
    <n v="103"/>
    <n v="5"/>
    <s v="OP103"/>
    <s v="Joao"/>
    <n v="80"/>
    <x v="3"/>
    <n v="58"/>
    <n v="0.96666666666666701"/>
    <n v="0.931034482758621"/>
    <n v="0.95370370370370405"/>
    <n v="0.85833333333333395"/>
    <x v="3"/>
    <n v="8240"/>
    <n v="720"/>
  </r>
  <r>
    <x v="292"/>
    <d v="2026-01-28T00:00:00"/>
    <d v="2026-01-28T00:00:00"/>
    <d v="1899-12-30T11:00:00"/>
    <d v="1899-12-30T12:00:00"/>
    <x v="0"/>
    <s v="OP293"/>
    <s v="Bahia"/>
    <s v="PROD_B"/>
    <s v="Peca Beta"/>
    <x v="1"/>
    <s v="LINHA01"/>
    <n v="120"/>
    <n v="30"/>
    <n v="60"/>
    <n v="0"/>
    <x v="1"/>
    <n v="110"/>
    <n v="110"/>
    <n v="0"/>
    <s v="OP103"/>
    <s v="Joao"/>
    <n v="80"/>
    <x v="4"/>
    <n v="60"/>
    <n v="1"/>
    <n v="0.91666666666666596"/>
    <n v="1"/>
    <n v="0.91666666666666596"/>
    <x v="1"/>
    <n v="8800"/>
    <n v="0"/>
  </r>
  <r>
    <x v="293"/>
    <d v="2026-01-28T00:00:00"/>
    <d v="2026-01-28T00:00:00"/>
    <d v="1899-12-30T12:00:00"/>
    <d v="1899-12-30T13:00:00"/>
    <x v="0"/>
    <s v="OP294"/>
    <s v="Sao Paulo"/>
    <s v="PROD_B"/>
    <s v="Peca Beta"/>
    <x v="1"/>
    <s v="LINHA01"/>
    <n v="120"/>
    <n v="30"/>
    <n v="60"/>
    <n v="3"/>
    <x v="4"/>
    <n v="87"/>
    <n v="79"/>
    <n v="8"/>
    <s v="OP104"/>
    <s v="Anna"/>
    <n v="80"/>
    <x v="17"/>
    <n v="57"/>
    <n v="0.95"/>
    <n v="0.76315789473684204"/>
    <n v="0.90804597701149403"/>
    <n v="0.65833333333333299"/>
    <x v="9"/>
    <n v="6320"/>
    <n v="1120"/>
  </r>
  <r>
    <x v="294"/>
    <d v="2026-01-28T00:00:00"/>
    <d v="2026-01-28T00:00:00"/>
    <d v="1899-12-30T13:00:00"/>
    <d v="1899-12-30T14:00:00"/>
    <x v="1"/>
    <s v="OP295"/>
    <s v="Para"/>
    <s v="PROD_C"/>
    <s v="Conjunto Gama"/>
    <x v="2"/>
    <s v="LINHA02"/>
    <n v="80"/>
    <n v="45"/>
    <n v="60"/>
    <n v="10"/>
    <x v="0"/>
    <n v="69"/>
    <n v="69"/>
    <n v="0"/>
    <s v="OP201"/>
    <s v="Lucia"/>
    <n v="120"/>
    <x v="4"/>
    <n v="50"/>
    <n v="0.83333333333333404"/>
    <n v="1.0349999999999999"/>
    <n v="1"/>
    <n v="0.86250000000000104"/>
    <x v="48"/>
    <n v="8280"/>
    <n v="1600"/>
  </r>
  <r>
    <x v="295"/>
    <d v="2026-01-28T00:00:00"/>
    <d v="2026-01-28T00:00:00"/>
    <d v="1899-12-30T14:00:00"/>
    <d v="1899-12-30T15:00:00"/>
    <x v="1"/>
    <s v="OP296"/>
    <s v="Para"/>
    <s v="PROD_C"/>
    <s v="Conjunto Gama"/>
    <x v="2"/>
    <s v="LINHA02"/>
    <n v="80"/>
    <n v="45"/>
    <n v="60"/>
    <n v="0"/>
    <x v="1"/>
    <n v="73"/>
    <n v="30"/>
    <n v="43"/>
    <s v="OP201"/>
    <s v="Lucia"/>
    <n v="120"/>
    <x v="45"/>
    <n v="60"/>
    <n v="1"/>
    <n v="0.91249999999999998"/>
    <n v="0.41095890410958902"/>
    <n v="0.375"/>
    <x v="1"/>
    <n v="3600"/>
    <n v="5160"/>
  </r>
  <r>
    <x v="296"/>
    <d v="2026-01-28T00:00:00"/>
    <d v="2026-01-28T00:00:00"/>
    <d v="1899-12-30T15:00:00"/>
    <d v="1899-12-30T16:00:00"/>
    <x v="1"/>
    <s v="OP297"/>
    <s v="Rio de Janeiro"/>
    <s v="PROD_C"/>
    <s v="Conjunto Gama"/>
    <x v="2"/>
    <s v="LINHA02"/>
    <n v="80"/>
    <n v="45"/>
    <n v="60"/>
    <n v="38"/>
    <x v="5"/>
    <n v="50"/>
    <n v="30"/>
    <n v="20"/>
    <s v="OP202"/>
    <s v="Mariana"/>
    <n v="120"/>
    <x v="43"/>
    <n v="22"/>
    <n v="0.36666666666666697"/>
    <n v="1.7045454545454499"/>
    <n v="0.6"/>
    <n v="0.374999999999999"/>
    <x v="53"/>
    <n v="3600"/>
    <n v="8480"/>
  </r>
  <r>
    <x v="297"/>
    <d v="2026-01-28T00:00:00"/>
    <d v="2026-01-28T00:00:00"/>
    <d v="1899-12-30T16:00:00"/>
    <d v="1899-12-30T17:00:00"/>
    <x v="1"/>
    <s v="OP298"/>
    <s v="Parana"/>
    <s v="PROD_A"/>
    <s v="Componente Alfa"/>
    <x v="0"/>
    <s v="LINHA01"/>
    <n v="100"/>
    <n v="36"/>
    <n v="60"/>
    <n v="7"/>
    <x v="0"/>
    <n v="94"/>
    <n v="91"/>
    <n v="3"/>
    <s v="OP203"/>
    <s v="Jorge"/>
    <n v="50"/>
    <x v="0"/>
    <n v="53"/>
    <n v="0.88333333333333297"/>
    <n v="1.06415094339623"/>
    <n v="0.96808510638297895"/>
    <n v="0.91000000000000303"/>
    <x v="27"/>
    <n v="4550"/>
    <n v="733.33330000000001"/>
  </r>
  <r>
    <x v="298"/>
    <d v="2026-01-28T00:00:00"/>
    <d v="2026-01-28T00:00:00"/>
    <d v="1899-12-30T17:00:00"/>
    <d v="1899-12-30T18:00:00"/>
    <x v="1"/>
    <s v="OP299"/>
    <s v="Goias"/>
    <s v="PROD_A"/>
    <s v="Componente Alfa"/>
    <x v="0"/>
    <s v="LINHA01"/>
    <n v="100"/>
    <n v="36"/>
    <n v="60"/>
    <n v="0"/>
    <x v="1"/>
    <n v="98"/>
    <n v="97"/>
    <n v="1"/>
    <s v="OP301"/>
    <s v="Luis"/>
    <n v="50"/>
    <x v="1"/>
    <n v="60"/>
    <n v="1"/>
    <n v="0.98"/>
    <n v="0.98979591836734704"/>
    <n v="0.97"/>
    <x v="1"/>
    <n v="4850"/>
    <n v="50"/>
  </r>
  <r>
    <x v="299"/>
    <d v="2026-01-28T00:00:00"/>
    <d v="2026-01-28T00:00:00"/>
    <d v="1899-12-30T17:00:00"/>
    <d v="1899-12-30T18:00:00"/>
    <x v="1"/>
    <s v="OP300"/>
    <s v="Bahia"/>
    <s v="PROD_A"/>
    <s v="Componente Alfa"/>
    <x v="0"/>
    <s v="LINHA01"/>
    <n v="100"/>
    <n v="36"/>
    <n v="60"/>
    <n v="3"/>
    <x v="6"/>
    <n v="91"/>
    <n v="91"/>
    <n v="0"/>
    <s v="OP301"/>
    <s v="Luis"/>
    <n v="50"/>
    <x v="4"/>
    <n v="57"/>
    <n v="0.95"/>
    <n v="0.95789473684210502"/>
    <n v="1"/>
    <n v="0.91"/>
    <x v="17"/>
    <n v="4550"/>
    <n v="250"/>
  </r>
  <r>
    <x v="300"/>
    <d v="2026-01-29T00:00:00"/>
    <d v="2026-01-29T00:00:00"/>
    <d v="1899-12-30T07:00:00"/>
    <d v="1899-12-30T08:00:00"/>
    <x v="0"/>
    <s v="OP301"/>
    <s v="Mato Grosso do Sul"/>
    <s v="PROD_B"/>
    <s v="Peca Beta"/>
    <x v="1"/>
    <s v="LINHA01"/>
    <n v="120"/>
    <n v="30"/>
    <n v="60"/>
    <n v="0"/>
    <x v="1"/>
    <n v="115"/>
    <n v="109"/>
    <n v="6"/>
    <s v="OP101"/>
    <s v="Paulo"/>
    <n v="80"/>
    <x v="24"/>
    <n v="60"/>
    <n v="1"/>
    <n v="0.95833333333333404"/>
    <n v="0.94782608695652204"/>
    <n v="0.90833333333333399"/>
    <x v="1"/>
    <n v="8720"/>
    <n v="480"/>
  </r>
  <r>
    <x v="301"/>
    <d v="2026-01-29T00:00:00"/>
    <d v="2026-01-29T00:00:00"/>
    <d v="1899-12-30T08:00:00"/>
    <d v="1899-12-30T09:00:00"/>
    <x v="0"/>
    <s v="OP302"/>
    <s v="Piaui"/>
    <s v="PROD_B"/>
    <s v="Peca Beta"/>
    <x v="1"/>
    <s v="LINHA01"/>
    <n v="120"/>
    <n v="30"/>
    <n v="60"/>
    <n v="18"/>
    <x v="7"/>
    <n v="0"/>
    <n v="0"/>
    <n v="0"/>
    <s v="OP102"/>
    <s v="Davi"/>
    <n v="80"/>
    <x v="4"/>
    <n v="42"/>
    <n v="0.7"/>
    <n v="0"/>
    <n v="0"/>
    <n v="0"/>
    <x v="54"/>
    <n v="0"/>
    <n v="2880"/>
  </r>
  <r>
    <x v="302"/>
    <d v="2026-01-29T00:00:00"/>
    <d v="2026-01-29T00:00:00"/>
    <d v="1899-12-30T09:00:00"/>
    <d v="1899-12-30T10:00:00"/>
    <x v="0"/>
    <s v="OP303"/>
    <s v="Parana"/>
    <s v="PROD_B"/>
    <s v="Peca Beta"/>
    <x v="1"/>
    <s v="LINHA01"/>
    <n v="120"/>
    <n v="30"/>
    <n v="60"/>
    <n v="2"/>
    <x v="8"/>
    <n v="103"/>
    <n v="100"/>
    <n v="3"/>
    <s v="OP102"/>
    <s v="Davi"/>
    <n v="80"/>
    <x v="10"/>
    <n v="58"/>
    <n v="0.96666666666666701"/>
    <n v="0.88793103448275901"/>
    <n v="0.970873786407767"/>
    <n v="0.83333333333333404"/>
    <x v="3"/>
    <n v="8000"/>
    <n v="560"/>
  </r>
  <r>
    <x v="303"/>
    <d v="2026-01-29T00:00:00"/>
    <d v="2026-01-29T00:00:00"/>
    <d v="1899-12-30T10:00:00"/>
    <d v="1899-12-30T11:00:00"/>
    <x v="0"/>
    <s v="OP304"/>
    <s v="Minas Gerais"/>
    <s v="PROD_C"/>
    <s v="Conjunto Gama"/>
    <x v="2"/>
    <s v="LINHA02"/>
    <n v="80"/>
    <n v="45"/>
    <n v="60"/>
    <n v="0"/>
    <x v="1"/>
    <n v="87"/>
    <n v="79"/>
    <n v="8"/>
    <s v="OP103"/>
    <s v="Joao"/>
    <n v="120"/>
    <x v="28"/>
    <n v="60"/>
    <n v="1"/>
    <n v="1.0874999999999999"/>
    <n v="0.90804597701149403"/>
    <n v="0.98750000000000004"/>
    <x v="1"/>
    <n v="9480"/>
    <n v="960"/>
  </r>
  <r>
    <x v="304"/>
    <d v="2026-01-29T00:00:00"/>
    <d v="2026-01-29T00:00:00"/>
    <d v="1899-12-30T11:00:00"/>
    <d v="1899-12-30T12:00:00"/>
    <x v="0"/>
    <s v="OP305"/>
    <s v="Piaui"/>
    <s v="PROD_C"/>
    <s v="Conjunto Gama"/>
    <x v="2"/>
    <s v="LINHA02"/>
    <n v="80"/>
    <n v="45"/>
    <n v="60"/>
    <n v="15"/>
    <x v="9"/>
    <n v="62"/>
    <n v="62"/>
    <n v="0"/>
    <s v="OP104"/>
    <s v="Anna"/>
    <n v="120"/>
    <x v="4"/>
    <n v="45"/>
    <n v="0.75"/>
    <n v="1.0333333333333301"/>
    <n v="1"/>
    <n v="0.77499999999999802"/>
    <x v="35"/>
    <n v="7440"/>
    <n v="2400"/>
  </r>
  <r>
    <x v="305"/>
    <d v="2026-01-29T00:00:00"/>
    <d v="2026-01-29T00:00:00"/>
    <d v="1899-12-30T12:00:00"/>
    <d v="1899-12-30T13:00:00"/>
    <x v="1"/>
    <s v="OP306"/>
    <s v="Para"/>
    <s v="PROD_A"/>
    <s v="Componente Alfa"/>
    <x v="0"/>
    <s v="LINHA01"/>
    <n v="100"/>
    <n v="36"/>
    <n v="60"/>
    <n v="0"/>
    <x v="1"/>
    <n v="93"/>
    <n v="91"/>
    <n v="2"/>
    <s v="OP201"/>
    <s v="Lucia"/>
    <n v="50"/>
    <x v="14"/>
    <n v="60"/>
    <n v="1"/>
    <n v="0.93"/>
    <n v="0.978494623655914"/>
    <n v="0.91"/>
    <x v="1"/>
    <n v="4550"/>
    <n v="100"/>
  </r>
  <r>
    <x v="306"/>
    <d v="2026-01-29T00:00:00"/>
    <d v="2026-01-29T00:00:00"/>
    <d v="1899-12-30T13:00:00"/>
    <d v="1899-12-30T14:00:00"/>
    <x v="1"/>
    <s v="OP307"/>
    <s v="Bahia"/>
    <s v="PROD_A"/>
    <s v="Componente Alfa"/>
    <x v="0"/>
    <s v="LINHA01"/>
    <n v="100"/>
    <n v="36"/>
    <n v="60"/>
    <n v="6"/>
    <x v="10"/>
    <n v="97"/>
    <n v="97"/>
    <n v="0"/>
    <s v="OP202"/>
    <s v="Mariana"/>
    <n v="50"/>
    <x v="4"/>
    <n v="54"/>
    <n v="0.9"/>
    <n v="1.0777777777777799"/>
    <n v="1"/>
    <n v="0.97000000000000197"/>
    <x v="6"/>
    <n v="4850"/>
    <n v="500"/>
  </r>
  <r>
    <x v="307"/>
    <d v="2026-01-29T00:00:00"/>
    <d v="2026-01-29T00:00:00"/>
    <d v="1899-12-30T14:00:00"/>
    <d v="1899-12-30T15:00:00"/>
    <x v="1"/>
    <s v="OP308"/>
    <s v="Sao Paulo"/>
    <s v="PROD_B"/>
    <s v="Peca Beta"/>
    <x v="1"/>
    <s v="LINHA01"/>
    <n v="120"/>
    <n v="30"/>
    <n v="60"/>
    <n v="0"/>
    <x v="1"/>
    <n v="118"/>
    <n v="112"/>
    <n v="6"/>
    <s v="OP203"/>
    <s v="Jorge"/>
    <n v="80"/>
    <x v="24"/>
    <n v="60"/>
    <n v="1"/>
    <n v="0.98333333333333295"/>
    <n v="0.94915254237288105"/>
    <n v="0.93333333333333302"/>
    <x v="1"/>
    <n v="8960"/>
    <n v="480"/>
  </r>
  <r>
    <x v="308"/>
    <d v="2026-01-29T00:00:00"/>
    <d v="2026-01-29T00:00:00"/>
    <d v="1899-12-30T15:00:00"/>
    <d v="1899-12-30T16:00:00"/>
    <x v="1"/>
    <s v="OP309"/>
    <s v="Sao Paulo"/>
    <s v="PROD_B"/>
    <s v="Peca Beta"/>
    <x v="1"/>
    <s v="LINHA01"/>
    <n v="120"/>
    <n v="30"/>
    <n v="60"/>
    <n v="12"/>
    <x v="11"/>
    <n v="77"/>
    <n v="67"/>
    <n v="10"/>
    <s v="OP201"/>
    <s v="Lucia"/>
    <n v="80"/>
    <x v="41"/>
    <n v="48"/>
    <n v="0.8"/>
    <n v="0.80208333333333404"/>
    <n v="0.87012987012986998"/>
    <n v="0.55833333333333401"/>
    <x v="22"/>
    <n v="5360"/>
    <n v="2720"/>
  </r>
  <r>
    <x v="309"/>
    <d v="2026-01-29T00:00:00"/>
    <d v="2026-01-29T00:00:00"/>
    <d v="1899-12-30T17:00:00"/>
    <d v="1899-12-30T18:00:00"/>
    <x v="2"/>
    <s v="OP310"/>
    <s v="Piaui"/>
    <s v="PROD_C"/>
    <s v="Conjunto Gama"/>
    <x v="2"/>
    <s v="LINHA02"/>
    <n v="80"/>
    <n v="45"/>
    <n v="60"/>
    <n v="0"/>
    <x v="1"/>
    <n v="78"/>
    <n v="78"/>
    <n v="0"/>
    <s v="OP302"/>
    <s v="Jose"/>
    <n v="120"/>
    <x v="4"/>
    <n v="60"/>
    <n v="1"/>
    <n v="0.97499999999999998"/>
    <n v="1"/>
    <n v="0.97499999999999998"/>
    <x v="1"/>
    <n v="9360"/>
    <n v="0"/>
  </r>
  <r>
    <x v="310"/>
    <d v="2026-01-29T00:00:00"/>
    <d v="2026-01-29T00:00:00"/>
    <d v="1899-12-30T18:00:00"/>
    <d v="1899-12-30T19:00:00"/>
    <x v="2"/>
    <s v="OP311"/>
    <s v="Para"/>
    <s v="PROD_C"/>
    <s v="Conjunto Gama"/>
    <x v="2"/>
    <s v="LINHA02"/>
    <n v="80"/>
    <n v="45"/>
    <n v="60"/>
    <n v="31"/>
    <x v="12"/>
    <n v="63"/>
    <n v="0"/>
    <n v="63"/>
    <s v="OP302"/>
    <s v="Jose"/>
    <n v="120"/>
    <x v="46"/>
    <n v="29"/>
    <n v="0.483333333333333"/>
    <n v="1.6293103448275901"/>
    <n v="0"/>
    <n v="0"/>
    <x v="24"/>
    <n v="0"/>
    <n v="12520"/>
  </r>
  <r>
    <x v="311"/>
    <d v="2026-01-30T00:00:00"/>
    <d v="2026-01-30T00:00:00"/>
    <d v="1899-12-30T07:00:00"/>
    <d v="1899-12-30T08:00:00"/>
    <x v="0"/>
    <s v="OP312"/>
    <s v="Mato Grosso do Sul"/>
    <s v="PROD_A"/>
    <s v="Componente Alfa"/>
    <x v="0"/>
    <s v="LINHA01"/>
    <n v="100"/>
    <n v="36"/>
    <n v="60"/>
    <n v="6"/>
    <x v="13"/>
    <n v="102"/>
    <n v="100"/>
    <n v="2"/>
    <s v="OP101"/>
    <s v="Paulo"/>
    <n v="50"/>
    <x v="14"/>
    <n v="54"/>
    <n v="0.9"/>
    <n v="1.13333333333333"/>
    <n v="0.98039215686274495"/>
    <n v="0.999999999999997"/>
    <x v="6"/>
    <n v="5000"/>
    <n v="600"/>
  </r>
  <r>
    <x v="312"/>
    <d v="2026-01-30T00:00:00"/>
    <d v="2026-01-30T00:00:00"/>
    <d v="1899-12-30T08:00:00"/>
    <d v="1899-12-30T09:00:00"/>
    <x v="0"/>
    <s v="OP313"/>
    <s v="Rio de Janeiro"/>
    <s v="PROD_A"/>
    <s v="Componente Alfa"/>
    <x v="0"/>
    <s v="LINHA01"/>
    <n v="100"/>
    <n v="36"/>
    <n v="60"/>
    <n v="0"/>
    <x v="1"/>
    <n v="105"/>
    <n v="105"/>
    <n v="0"/>
    <s v="OP101"/>
    <s v="Paulo"/>
    <n v="50"/>
    <x v="4"/>
    <n v="60"/>
    <n v="1"/>
    <n v="1.05"/>
    <n v="1"/>
    <n v="1.05"/>
    <x v="1"/>
    <n v="5250"/>
    <n v="0"/>
  </r>
  <r>
    <x v="313"/>
    <d v="2026-01-30T00:00:00"/>
    <d v="2026-01-30T00:00:00"/>
    <d v="1899-12-30T09:00:00"/>
    <d v="1899-12-30T10:00:00"/>
    <x v="0"/>
    <s v="OP314"/>
    <s v="Rio de Janeiro"/>
    <s v="PROD_A"/>
    <s v="Componente Alfa"/>
    <x v="0"/>
    <s v="LINHA01"/>
    <n v="100"/>
    <n v="36"/>
    <n v="60"/>
    <n v="10"/>
    <x v="0"/>
    <n v="90"/>
    <n v="88"/>
    <n v="2"/>
    <s v="OP101"/>
    <s v="Paulo"/>
    <n v="50"/>
    <x v="14"/>
    <n v="50"/>
    <n v="0.83333333333333404"/>
    <n v="1.08"/>
    <n v="0.97777777777777797"/>
    <n v="0.880000000000001"/>
    <x v="18"/>
    <n v="4400"/>
    <n v="933.33330000000001"/>
  </r>
  <r>
    <x v="314"/>
    <d v="2026-01-30T00:00:00"/>
    <d v="2026-01-30T00:00:00"/>
    <d v="1899-12-30T10:00:00"/>
    <d v="1899-12-30T11:00:00"/>
    <x v="0"/>
    <s v="OP315"/>
    <s v="Para"/>
    <s v="PROD_A"/>
    <s v="Componente Alfa"/>
    <x v="0"/>
    <s v="LINHA01"/>
    <n v="100"/>
    <n v="36"/>
    <n v="60"/>
    <n v="8"/>
    <x v="2"/>
    <n v="71"/>
    <n v="66"/>
    <n v="5"/>
    <s v="OP102"/>
    <s v="Davi"/>
    <n v="50"/>
    <x v="21"/>
    <n v="52"/>
    <n v="0.86666666666666703"/>
    <n v="0.81923076923076898"/>
    <n v="0.92957746478873204"/>
    <n v="0.66"/>
    <x v="25"/>
    <n v="3300"/>
    <n v="916.66669999999999"/>
  </r>
  <r>
    <x v="315"/>
    <d v="2026-01-30T00:00:00"/>
    <d v="2026-01-30T00:00:00"/>
    <d v="1899-12-30T11:00:00"/>
    <d v="1899-12-30T12:00:00"/>
    <x v="0"/>
    <s v="OP316"/>
    <s v="Minas Gerais"/>
    <s v="PROD_B"/>
    <s v="Peca Beta"/>
    <x v="1"/>
    <s v="LINHA01"/>
    <n v="120"/>
    <n v="30"/>
    <n v="60"/>
    <n v="1"/>
    <x v="3"/>
    <n v="110"/>
    <n v="105"/>
    <n v="5"/>
    <s v="OP103"/>
    <s v="Joao"/>
    <n v="80"/>
    <x v="3"/>
    <n v="59"/>
    <n v="0.98333333333333295"/>
    <n v="0.93220338983050799"/>
    <n v="0.95454545454545403"/>
    <n v="0.874999999999999"/>
    <x v="14"/>
    <n v="8400"/>
    <n v="560"/>
  </r>
  <r>
    <x v="316"/>
    <d v="2026-01-30T00:00:00"/>
    <d v="2026-01-30T00:00:00"/>
    <d v="1899-12-30T12:00:00"/>
    <d v="1899-12-30T13:00:00"/>
    <x v="1"/>
    <s v="OP317"/>
    <s v="Piaui"/>
    <s v="PROD_C"/>
    <s v="Conjunto Gama"/>
    <x v="2"/>
    <s v="LINHA02"/>
    <n v="80"/>
    <n v="45"/>
    <n v="60"/>
    <n v="8"/>
    <x v="0"/>
    <n v="71"/>
    <n v="71"/>
    <n v="0"/>
    <s v="OP201"/>
    <s v="Lucia"/>
    <n v="120"/>
    <x v="4"/>
    <n v="52"/>
    <n v="0.86666666666666703"/>
    <n v="1.0240384615384599"/>
    <n v="1"/>
    <n v="0.88749999999999896"/>
    <x v="4"/>
    <n v="8520"/>
    <n v="1280"/>
  </r>
  <r>
    <x v="317"/>
    <d v="2026-01-30T00:00:00"/>
    <d v="2026-01-30T00:00:00"/>
    <d v="1899-12-30T13:00:00"/>
    <d v="1899-12-30T14:00:00"/>
    <x v="1"/>
    <s v="OP318"/>
    <s v="Goias"/>
    <s v="PROD_C"/>
    <s v="Conjunto Gama"/>
    <x v="2"/>
    <s v="LINHA02"/>
    <n v="80"/>
    <n v="45"/>
    <n v="60"/>
    <n v="52"/>
    <x v="5"/>
    <n v="51"/>
    <n v="0"/>
    <n v="51"/>
    <s v="OP202"/>
    <s v="Mariana"/>
    <n v="120"/>
    <x v="44"/>
    <n v="8"/>
    <n v="0.133333333333333"/>
    <n v="4.78125"/>
    <n v="0"/>
    <n v="0"/>
    <x v="55"/>
    <n v="0"/>
    <n v="14440"/>
  </r>
  <r>
    <x v="318"/>
    <d v="2026-01-30T00:00:00"/>
    <d v="2026-01-30T00:00:00"/>
    <d v="1899-12-30T14:00:00"/>
    <d v="1899-12-30T15:00:00"/>
    <x v="1"/>
    <s v="OP319"/>
    <s v="Minas Gerais"/>
    <s v="PROD_A"/>
    <s v="Componente Alfa"/>
    <x v="0"/>
    <s v="LINHA01"/>
    <n v="100"/>
    <n v="36"/>
    <n v="60"/>
    <n v="7"/>
    <x v="0"/>
    <n v="87"/>
    <n v="85"/>
    <n v="2"/>
    <s v="OP203"/>
    <s v="Jorge"/>
    <n v="50"/>
    <x v="14"/>
    <n v="53"/>
    <n v="0.88333333333333297"/>
    <n v="0.98490566037735805"/>
    <n v="0.97701149425287404"/>
    <n v="0.85"/>
    <x v="27"/>
    <n v="4250"/>
    <n v="683.33330000000001"/>
  </r>
  <r>
    <x v="319"/>
    <d v="2026-01-30T00:00:00"/>
    <d v="2026-01-30T00:00:00"/>
    <d v="1899-12-30T15:00:00"/>
    <d v="1899-12-30T16:00:00"/>
    <x v="1"/>
    <s v="OP320"/>
    <s v="Bahia"/>
    <s v="PROD_A"/>
    <s v="Componente Alfa"/>
    <x v="0"/>
    <s v="LINHA01"/>
    <n v="100"/>
    <n v="36"/>
    <n v="60"/>
    <n v="4"/>
    <x v="6"/>
    <n v="90"/>
    <n v="90"/>
    <n v="0"/>
    <s v="OP301"/>
    <s v="Luis"/>
    <n v="50"/>
    <x v="4"/>
    <n v="56"/>
    <n v="0.93333333333333302"/>
    <n v="0.96428571428571397"/>
    <n v="1"/>
    <n v="0.89999999999999902"/>
    <x v="7"/>
    <n v="4500"/>
    <n v="333.33330000000001"/>
  </r>
  <r>
    <x v="320"/>
    <d v="2026-01-31T00:00:00"/>
    <d v="2026-01-31T00:00:00"/>
    <d v="1899-12-30T07:00:00"/>
    <d v="1899-12-30T08:00:00"/>
    <x v="0"/>
    <s v="OP321"/>
    <s v="Rio de Janeiro"/>
    <s v="PROD_A"/>
    <s v="Componente Alfa"/>
    <x v="0"/>
    <s v="LINHA01"/>
    <n v="100"/>
    <n v="36"/>
    <n v="60"/>
    <n v="7"/>
    <x v="0"/>
    <n v="97"/>
    <n v="95"/>
    <n v="2"/>
    <s v="OP101"/>
    <s v="Paulo"/>
    <n v="50"/>
    <x v="14"/>
    <n v="53"/>
    <n v="0.88333333333333297"/>
    <n v="1.09811320754717"/>
    <n v="0.97938144329896903"/>
    <n v="0.95"/>
    <x v="27"/>
    <n v="4750"/>
    <n v="683.33330000000001"/>
  </r>
  <r>
    <x v="321"/>
    <d v="2026-01-31T00:00:00"/>
    <d v="2026-01-31T00:00:00"/>
    <d v="1899-12-30T08:00:00"/>
    <d v="1899-12-30T09:00:00"/>
    <x v="0"/>
    <s v="OP322"/>
    <s v="Para"/>
    <s v="PROD_A"/>
    <s v="Componente Alfa"/>
    <x v="0"/>
    <s v="LINHA01"/>
    <n v="100"/>
    <n v="36"/>
    <n v="60"/>
    <n v="0"/>
    <x v="1"/>
    <n v="106"/>
    <n v="105"/>
    <n v="1"/>
    <s v="OP101"/>
    <s v="Paulo"/>
    <n v="50"/>
    <x v="1"/>
    <n v="60"/>
    <n v="1"/>
    <n v="1.06"/>
    <n v="0.99056603773584895"/>
    <n v="1.05"/>
    <x v="1"/>
    <n v="5250"/>
    <n v="50"/>
  </r>
  <r>
    <x v="322"/>
    <d v="2026-01-31T00:00:00"/>
    <d v="2026-01-31T00:00:00"/>
    <d v="1899-12-30T09:00:00"/>
    <d v="1899-12-30T10:00:00"/>
    <x v="0"/>
    <s v="OP323"/>
    <s v="Sao Paulo"/>
    <s v="PROD_A"/>
    <s v="Componente Alfa"/>
    <x v="0"/>
    <s v="LINHA01"/>
    <n v="100"/>
    <n v="36"/>
    <n v="60"/>
    <n v="10"/>
    <x v="2"/>
    <n v="76"/>
    <n v="71"/>
    <n v="5"/>
    <s v="OP102"/>
    <s v="Davi"/>
    <n v="50"/>
    <x v="21"/>
    <n v="50"/>
    <n v="0.83333333333333404"/>
    <n v="0.91200000000000003"/>
    <n v="0.93421052631579005"/>
    <n v="0.71000000000000096"/>
    <x v="18"/>
    <n v="3550"/>
    <n v="1083.3333"/>
  </r>
  <r>
    <x v="323"/>
    <d v="2026-01-31T00:00:00"/>
    <d v="2026-01-31T00:00:00"/>
    <d v="1899-12-30T10:00:00"/>
    <d v="1899-12-30T11:00:00"/>
    <x v="0"/>
    <s v="OP324"/>
    <s v="Sao Paulo"/>
    <s v="PROD_B"/>
    <s v="Peca Beta"/>
    <x v="1"/>
    <s v="LINHA01"/>
    <n v="120"/>
    <n v="30"/>
    <n v="60"/>
    <n v="2"/>
    <x v="3"/>
    <n v="108"/>
    <n v="103"/>
    <n v="5"/>
    <s v="OP103"/>
    <s v="Joao"/>
    <n v="80"/>
    <x v="3"/>
    <n v="58"/>
    <n v="0.96666666666666701"/>
    <n v="0.931034482758621"/>
    <n v="0.95370370370370405"/>
    <n v="0.85833333333333395"/>
    <x v="3"/>
    <n v="8240"/>
    <n v="720"/>
  </r>
  <r>
    <x v="324"/>
    <d v="2026-01-31T00:00:00"/>
    <d v="2026-01-31T00:00:00"/>
    <d v="1899-12-30T11:00:00"/>
    <d v="1899-12-30T12:00:00"/>
    <x v="0"/>
    <s v="OP325"/>
    <s v="Parana"/>
    <s v="PROD_B"/>
    <s v="Peca Beta"/>
    <x v="1"/>
    <s v="LINHA01"/>
    <n v="120"/>
    <n v="30"/>
    <n v="60"/>
    <n v="0"/>
    <x v="1"/>
    <n v="113"/>
    <n v="113"/>
    <n v="0"/>
    <s v="OP103"/>
    <s v="Joao"/>
    <n v="80"/>
    <x v="4"/>
    <n v="60"/>
    <n v="1"/>
    <n v="0.94166666666666698"/>
    <n v="1"/>
    <n v="0.94166666666666698"/>
    <x v="1"/>
    <n v="9040"/>
    <n v="0"/>
  </r>
  <r>
    <x v="325"/>
    <d v="2026-01-31T00:00:00"/>
    <d v="2026-01-31T00:00:00"/>
    <d v="1899-12-30T12:00:00"/>
    <d v="1899-12-30T13:00:00"/>
    <x v="0"/>
    <s v="OP326"/>
    <s v="Parana"/>
    <s v="PROD_B"/>
    <s v="Peca Beta"/>
    <x v="1"/>
    <s v="LINHA01"/>
    <n v="120"/>
    <n v="30"/>
    <n v="60"/>
    <n v="2"/>
    <x v="4"/>
    <n v="93"/>
    <n v="86"/>
    <n v="7"/>
    <s v="OP104"/>
    <s v="Anna"/>
    <n v="80"/>
    <x v="5"/>
    <n v="58"/>
    <n v="0.96666666666666701"/>
    <n v="0.80172413793103403"/>
    <n v="0.92473118279569899"/>
    <n v="0.71666666666666601"/>
    <x v="3"/>
    <n v="6880"/>
    <n v="880"/>
  </r>
  <r>
    <x v="326"/>
    <d v="2026-01-31T00:00:00"/>
    <d v="2026-01-31T00:00:00"/>
    <d v="1899-12-30T13:00:00"/>
    <d v="1899-12-30T14:00:00"/>
    <x v="1"/>
    <s v="OP327"/>
    <s v="Parana"/>
    <s v="PROD_C"/>
    <s v="Conjunto Gama"/>
    <x v="2"/>
    <s v="LINHA02"/>
    <n v="80"/>
    <n v="45"/>
    <n v="60"/>
    <n v="10"/>
    <x v="0"/>
    <n v="80"/>
    <n v="80"/>
    <n v="0"/>
    <s v="OP201"/>
    <s v="Lucia"/>
    <n v="120"/>
    <x v="4"/>
    <n v="50"/>
    <n v="0.83333333333333404"/>
    <n v="1.2"/>
    <n v="1"/>
    <n v="1"/>
    <x v="48"/>
    <n v="9600"/>
    <n v="1600"/>
  </r>
  <r>
    <x v="327"/>
    <d v="2026-01-31T00:00:00"/>
    <d v="2026-01-31T00:00:00"/>
    <d v="1899-12-30T14:00:00"/>
    <d v="1899-12-30T15:00:00"/>
    <x v="1"/>
    <s v="OP328"/>
    <s v="Piaui"/>
    <s v="PROD_C"/>
    <s v="Conjunto Gama"/>
    <x v="2"/>
    <s v="LINHA02"/>
    <n v="80"/>
    <n v="45"/>
    <n v="60"/>
    <n v="0"/>
    <x v="1"/>
    <n v="77"/>
    <n v="61"/>
    <n v="16"/>
    <s v="OP201"/>
    <s v="Lucia"/>
    <n v="120"/>
    <x v="18"/>
    <n v="60"/>
    <n v="1"/>
    <n v="0.96250000000000002"/>
    <n v="0.79220779220779203"/>
    <n v="0.76249999999999996"/>
    <x v="1"/>
    <n v="7320"/>
    <n v="1920"/>
  </r>
  <r>
    <x v="328"/>
    <d v="2026-01-31T00:00:00"/>
    <d v="2026-01-31T00:00:00"/>
    <d v="1899-12-30T15:00:00"/>
    <d v="1899-12-30T16:00:00"/>
    <x v="1"/>
    <s v="OP329"/>
    <s v="Piaui"/>
    <s v="PROD_C"/>
    <s v="Conjunto Gama"/>
    <x v="2"/>
    <s v="LINHA02"/>
    <n v="80"/>
    <n v="45"/>
    <n v="60"/>
    <n v="37"/>
    <x v="5"/>
    <n v="49"/>
    <n v="0"/>
    <n v="49"/>
    <s v="OP202"/>
    <s v="Mariana"/>
    <n v="120"/>
    <x v="29"/>
    <n v="23"/>
    <n v="0.38333333333333303"/>
    <n v="1.59782608695652"/>
    <n v="0"/>
    <n v="0"/>
    <x v="20"/>
    <n v="0"/>
    <n v="11800"/>
  </r>
  <r>
    <x v="329"/>
    <d v="2026-01-31T00:00:00"/>
    <d v="2026-01-31T00:00:00"/>
    <d v="1899-12-30T16:00:00"/>
    <d v="1899-12-30T17:00:00"/>
    <x v="1"/>
    <s v="OP330"/>
    <s v="Rio de Janeiro"/>
    <s v="PROD_A"/>
    <s v="Componente Alfa"/>
    <x v="0"/>
    <s v="LINHA01"/>
    <n v="100"/>
    <n v="36"/>
    <n v="60"/>
    <n v="5"/>
    <x v="0"/>
    <n v="99"/>
    <n v="96"/>
    <n v="3"/>
    <s v="OP203"/>
    <s v="Jorge"/>
    <n v="50"/>
    <x v="0"/>
    <n v="55"/>
    <n v="0.91666666666666596"/>
    <n v="1.08"/>
    <n v="0.96969696969696995"/>
    <n v="0.96"/>
    <x v="13"/>
    <n v="4800"/>
    <n v="566.66669999999999"/>
  </r>
  <r>
    <x v="330"/>
    <d v="2026-01-31T00:00:00"/>
    <d v="2026-01-31T00:00:00"/>
    <d v="1899-12-30T17:00:00"/>
    <d v="1899-12-30T18:00:00"/>
    <x v="1"/>
    <s v="OP331"/>
    <s v="Sao Paulo"/>
    <s v="PROD_A"/>
    <s v="Componente Alfa"/>
    <x v="0"/>
    <s v="LINHA01"/>
    <n v="100"/>
    <n v="36"/>
    <n v="60"/>
    <n v="0"/>
    <x v="1"/>
    <n v="98"/>
    <n v="97"/>
    <n v="1"/>
    <s v="OP301"/>
    <s v="Luis"/>
    <n v="50"/>
    <x v="1"/>
    <n v="60"/>
    <n v="1"/>
    <n v="0.98"/>
    <n v="0.98979591836734704"/>
    <n v="0.97"/>
    <x v="1"/>
    <n v="4850"/>
    <n v="50"/>
  </r>
  <r>
    <x v="331"/>
    <d v="2026-01-31T00:00:00"/>
    <d v="2026-01-31T00:00:00"/>
    <d v="1899-12-30T17:00:00"/>
    <d v="1899-12-30T18:00:00"/>
    <x v="1"/>
    <s v="OP332"/>
    <s v="Rio de Janeiro"/>
    <s v="PROD_A"/>
    <s v="Componente Alfa"/>
    <x v="0"/>
    <s v="LINHA01"/>
    <n v="100"/>
    <n v="36"/>
    <n v="60"/>
    <n v="2"/>
    <x v="6"/>
    <n v="94"/>
    <n v="94"/>
    <n v="0"/>
    <s v="OP301"/>
    <s v="Luis"/>
    <n v="50"/>
    <x v="4"/>
    <n v="58"/>
    <n v="0.96666666666666701"/>
    <n v="0.972413793103448"/>
    <n v="1"/>
    <n v="0.94"/>
    <x v="21"/>
    <n v="4700"/>
    <n v="166.6666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02C23-F57B-403E-80B9-4980C4A58598}" name="Tabela dinâ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 rowHeaderCaption="Máquina">
  <location ref="B58:D62" firstHeaderRow="0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  <pivotField numFmtId="10" showAll="0"/>
    <pivotField numFmtId="10" showAll="0"/>
    <pivotField dataField="1" numFmtId="165" showAll="0"/>
    <pivotField numFmtId="165" showAll="0"/>
    <pivotField numFmtId="165" showAll="0"/>
  </pivotFields>
  <rowFields count="1">
    <field x="10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erda por Refugo" fld="23" baseField="10" baseItem="2"/>
    <dataField name="Perda por Parada" fld="29" baseField="0" baseItem="0"/>
  </dataFields>
  <formats count="5">
    <format dxfId="80">
      <pivotArea outline="0" collapsedLevelsAreSubtotals="1" fieldPosition="0"/>
    </format>
    <format dxfId="79">
      <pivotArea outline="0" collapsedLevelsAreSubtotals="1" fieldPosition="0"/>
    </format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19979-36AE-4670-B565-3C2E9BED59C3}" name="Tabela dinâmica1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 rowHeaderCaption="Máquina">
  <location ref="B34:C38" firstHeaderRow="1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dataField="1" numFmtId="165" showAll="0"/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Prejuízo Total" fld="31" baseField="10" baseItem="0" numFmtId="165"/>
  </dataFields>
  <formats count="5">
    <format dxfId="85">
      <pivotArea outline="0" collapsedLevelsAreSubtotals="1" fieldPosition="0"/>
    </format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</format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07C4A-E1F6-482C-8F0E-CA69A5942094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3:F4" firstHeaderRow="1" firstDataRow="1" firstDataCol="0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dataField="1" numFmtId="165" showAll="0"/>
    <pivotField numFmtId="165" showAll="0"/>
  </pivotFields>
  <rowItems count="1">
    <i/>
  </rowItems>
  <colItems count="1">
    <i/>
  </colItems>
  <dataFields count="1">
    <dataField name="Valor Realizado" fld="30" baseField="0" baseItem="0"/>
  </dataFields>
  <formats count="5">
    <format dxfId="90">
      <pivotArea outline="0" collapsedLevelsAreSubtotals="1" fieldPosition="0"/>
    </format>
    <format dxfId="89">
      <pivotArea outline="0" collapsedLevelsAreSubtotals="1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B1A12-B401-4326-81AC-CD5BD0BCE4F2}" name="Tabela dinâ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J3:J4" firstHeaderRow="1" firstDataRow="1" firstDataCol="0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numFmtId="165" showAll="0"/>
  </pivotFields>
  <rowItems count="1">
    <i/>
  </rowItems>
  <colItems count="1">
    <i/>
  </colItems>
  <dataFields count="1">
    <dataField name="Perda Refugo" fld="23" baseField="0" baseItem="0"/>
  </dataFields>
  <formats count="5">
    <format dxfId="95">
      <pivotArea outline="0" collapsedLevelsAreSubtotals="1" fieldPosition="0"/>
    </format>
    <format dxfId="94">
      <pivotArea outline="0" collapsedLevelsAreSubtotals="1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99C11-4D7E-41A9-B603-8B698C41CB56}" name="Tabela dinâ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3:H4" firstHeaderRow="1" firstDataRow="1" firstDataCol="0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dataField="1" numFmtId="165" showAll="0"/>
    <pivotField numFmtId="165" showAll="0"/>
    <pivotField numFmtId="165" showAll="0"/>
  </pivotFields>
  <rowItems count="1">
    <i/>
  </rowItems>
  <colItems count="1">
    <i/>
  </colItems>
  <dataFields count="1">
    <dataField name="Perda por Parada" fld="29" baseField="0" baseItem="0"/>
  </dataFields>
  <formats count="5">
    <format dxfId="100">
      <pivotArea outline="0" collapsedLevelsAreSubtotals="1" fieldPosition="0"/>
    </format>
    <format dxfId="99">
      <pivotArea outline="0" collapsedLevelsAreSubtotals="1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2922E-8480-4FE4-9DAD-1AB7A7A17203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3:D4" firstHeaderRow="1" firstDataRow="1" firstDataCol="0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dataField="1" numFmtId="165" showAll="0"/>
  </pivotFields>
  <rowItems count="1">
    <i/>
  </rowItems>
  <colItems count="1">
    <i/>
  </colItems>
  <dataFields count="1">
    <dataField name="Prejuízo Total" fld="31" baseField="0" baseItem="0" numFmtId="165"/>
  </dataFields>
  <formats count="5">
    <format dxfId="105">
      <pivotArea outline="0" collapsedLevelsAreSubtotals="1" fieldPosition="0"/>
    </format>
    <format dxfId="104">
      <pivotArea outline="0" collapsedLevelsAreSubtotals="1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D051E-71C6-4B6C-A530-B9E0969BF70A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 rowHeaderCaption="Máquina">
  <location ref="B10:C14" firstHeaderRow="1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dataField="1" numFmtId="10" showAll="0"/>
    <pivotField numFmtId="165" showAll="0"/>
    <pivotField numFmtId="165" showAll="0"/>
    <pivotField numFmtId="165" showAll="0"/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Média OEE" fld="28" subtotal="average" baseField="10" baseItem="0"/>
  </dataFields>
  <formats count="2">
    <format dxfId="107">
      <pivotArea outline="0" collapsedLevelsAreSubtotals="1" fieldPosition="0"/>
    </format>
    <format dxfId="106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A7FDA-E3A6-40B5-B192-DC2FED293D6E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3:B4" firstHeaderRow="1" firstDataRow="1" firstDataCol="0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dataField="1" numFmtId="10" showAll="0"/>
    <pivotField numFmtId="165" showAll="0"/>
    <pivotField numFmtId="165" showAll="0"/>
    <pivotField numFmtId="165" showAll="0"/>
  </pivotFields>
  <rowItems count="1">
    <i/>
  </rowItems>
  <colItems count="1">
    <i/>
  </colItems>
  <dataFields count="1">
    <dataField name="Média OEE" fld="28" subtotal="average" baseField="0" baseItem="0" numFmtId="9"/>
  </dataFields>
  <formats count="2">
    <format dxfId="109">
      <pivotArea outline="0" collapsedLevelsAreSubtotals="1" fieldPosition="0"/>
    </format>
    <format dxfId="10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E027D-32DE-4421-9E3C-556BB9E31A5F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Máquina">
  <location ref="B8:E12" firstHeaderRow="0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dataField="1" numFmtId="10" showAll="0"/>
    <pivotField dataField="1" numFmtId="10" showAll="0"/>
    <pivotField numFmtId="10" showAll="0"/>
    <pivotField numFmtId="165" showAll="0"/>
    <pivotField numFmtId="165" showAll="0"/>
    <pivotField numFmtId="165" showAll="0"/>
  </pivotFields>
  <rowFields count="1">
    <field x="10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disponibilidade" fld="25" subtotal="average" baseField="10" baseItem="0" numFmtId="9"/>
    <dataField name="Média de performance" fld="26" subtotal="average" baseField="0" baseItem="0"/>
    <dataField name="Média de qualidade" fld="27" subtotal="average" baseField="0" baseItem="0"/>
  </dataFields>
  <formats count="3"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612E1-DB7F-4891-A5FD-E31900A54BBD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B146:D148" firstHeaderRow="0" firstDataRow="1" firstDataCol="1" rowPageCount="1" colPageCount="1"/>
  <pivotFields count="32">
    <pivotField showAll="0"/>
    <pivotField numFmtId="14" showAll="0"/>
    <pivotField numFmtId="14" showAll="0"/>
    <pivotField numFmtId="164" showAll="0"/>
    <pivotField numFmtId="164" showAll="0"/>
    <pivotField axis="axisPage" multipleItemSelectionAllowed="1" showAll="0">
      <items count="4">
        <item h="1"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h="1" x="1"/>
        <item x="3"/>
        <item x="6"/>
        <item x="9"/>
        <item x="4"/>
        <item x="12"/>
        <item x="10"/>
        <item x="2"/>
        <item x="7"/>
        <item x="5"/>
        <item x="11"/>
        <item x="0"/>
        <item x="1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numFmtId="165" showAll="0"/>
  </pivotFields>
  <rowFields count="1">
    <field x="16"/>
  </rowFields>
  <rowItems count="2"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oma de tempo_parada_minutos" fld="15" baseField="0" baseItem="0"/>
    <dataField name="Soma de tempo_parada_minutos2" fld="15" showDataAs="percentOfCol" baseField="0" baseItem="0" numFmtId="1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1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36613-9AB2-4365-BA30-2A244B527AAE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 rowHeaderCaption="Motivo parada" colHeaderCaption="Turnos">
  <location ref="B117:F132" firstHeaderRow="1" firstDataRow="2" firstDataCol="1"/>
  <pivotFields count="32">
    <pivotField showAll="0"/>
    <pivotField numFmtId="14" showAll="0"/>
    <pivotField numFmtId="14" showAll="0"/>
    <pivotField numFmtId="164" showAll="0"/>
    <pivotField numFmtId="164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5">
        <item h="1" x="1"/>
        <item x="3"/>
        <item x="6"/>
        <item x="9"/>
        <item x="4"/>
        <item x="12"/>
        <item x="10"/>
        <item x="2"/>
        <item x="7"/>
        <item x="5"/>
        <item x="11"/>
        <item x="0"/>
        <item x="1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numFmtId="165" showAll="0"/>
  </pivotFields>
  <rowFields count="1">
    <field x="16"/>
  </rowFields>
  <rowItems count="14">
    <i>
      <x v="9"/>
    </i>
    <i>
      <x v="11"/>
    </i>
    <i>
      <x v="7"/>
    </i>
    <i>
      <x v="5"/>
    </i>
    <i>
      <x v="3"/>
    </i>
    <i>
      <x v="10"/>
    </i>
    <i>
      <x v="8"/>
    </i>
    <i>
      <x v="6"/>
    </i>
    <i>
      <x v="12"/>
    </i>
    <i>
      <x v="2"/>
    </i>
    <i>
      <x v="4"/>
    </i>
    <i>
      <x v="1"/>
    </i>
    <i>
      <x v="1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oma de tempo_parada_minutos" fld="15" baseField="0" baseItem="0"/>
  </dataFields>
  <formats count="7">
    <format dxfId="58">
      <pivotArea outline="0" collapsedLevelsAreSubtotals="1" fieldPosition="0"/>
    </format>
    <format dxfId="57">
      <pivotArea outline="0" collapsedLevelsAreSubtotals="1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outline="0" collapsedLevelsAreSubtotals="1" fieldPosition="0"/>
    </format>
    <format dxfId="53">
      <pivotArea dataOnly="0" labelOnly="1" grandCol="1" outline="0" fieldPosition="0"/>
    </format>
    <format dxfId="52">
      <pivotArea dataOnly="0" fieldPosition="0">
        <references count="1">
          <reference field="16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E1216-1656-4307-BCDD-D913C2385831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Turno">
  <location ref="B92:E96" firstHeaderRow="0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dataField="1" numFmtId="10" showAll="0"/>
    <pivotField numFmtId="165" showAll="0"/>
    <pivotField numFmtId="165" showAll="0"/>
    <pivotField numFmtId="165" showAll="0"/>
  </pivotFields>
  <rowFields count="1">
    <field x="5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OEE" fld="28" subtotal="average" baseField="5" baseItem="0" numFmtId="9"/>
    <dataField name="Tempo Pardada(Min.)" fld="15" baseField="5" baseItem="0"/>
    <dataField name="Quantidade Refugada" fld="19" baseField="5" baseItem="0"/>
  </dataFields>
  <formats count="6">
    <format dxfId="64">
      <pivotArea outline="0" collapsedLevelsAreSubtotals="1" fieldPosition="0"/>
    </format>
    <format dxfId="63">
      <pivotArea outline="0" collapsedLevelsAreSubtotals="1" fieldPosition="0"/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9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E0FB5-27A8-47CC-9FFE-DFD4C957A942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Máquina">
  <location ref="B38:E52" firstHeaderRow="0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axis="axisRow" showAll="0" sortType="descending">
      <items count="15">
        <item h="1" x="1"/>
        <item x="3"/>
        <item x="6"/>
        <item x="9"/>
        <item x="4"/>
        <item x="12"/>
        <item x="10"/>
        <item x="2"/>
        <item x="7"/>
        <item x="5"/>
        <item x="11"/>
        <item x="0"/>
        <item x="1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numFmtId="165" showAll="0"/>
  </pivotFields>
  <rowFields count="1">
    <field x="16"/>
  </rowFields>
  <rowItems count="14">
    <i>
      <x v="9"/>
    </i>
    <i>
      <x v="11"/>
    </i>
    <i>
      <x v="7"/>
    </i>
    <i>
      <x v="5"/>
    </i>
    <i>
      <x v="3"/>
    </i>
    <i>
      <x v="10"/>
    </i>
    <i>
      <x v="8"/>
    </i>
    <i>
      <x v="6"/>
    </i>
    <i>
      <x v="12"/>
    </i>
    <i>
      <x v="2"/>
    </i>
    <i>
      <x v="4"/>
    </i>
    <i>
      <x v="1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empo Parada(Min)" fld="15" baseField="16" baseItem="9" numFmtId="1"/>
    <dataField name="% do Impacto" fld="15" showDataAs="percentOfCol" baseField="16" baseItem="9" numFmtId="10"/>
    <dataField name="% Acumulado" fld="15" baseField="16" baseItem="0" numFmtId="9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1">
    <format dxfId="75">
      <pivotArea outline="0" collapsedLevelsAreSubtotals="1" fieldPosition="0"/>
    </format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collapsedLevelsAreSubtotals="1" fieldPosition="0">
        <references count="1">
          <reference field="16" count="1">
            <x v="1"/>
          </reference>
        </references>
      </pivotArea>
    </format>
    <format dxfId="71">
      <pivotArea outline="0" collapsedLevelsAreSubtotals="1" fieldPosition="0"/>
    </format>
    <format dxfId="70">
      <pivotArea outline="0" fieldPosition="0">
        <references count="1">
          <reference field="4294967294" count="1">
            <x v="1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1"/>
          </reference>
          <reference field="16" count="0"/>
        </references>
      </pivotArea>
    </format>
    <format dxfId="68">
      <pivotArea outline="0" fieldPosition="0">
        <references count="1">
          <reference field="4294967294" count="1">
            <x v="2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">
      <pivotArea outline="0" collapsedLevelsAreSubtotals="1" fieldPosition="0"/>
    </format>
    <format dxfId="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E9C2A-ABE9-4B5B-9B3D-E6E564752A8C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 rowHeaderCaption="Máquina">
  <location ref="B174:D178" firstHeaderRow="0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dataField="1" numFmtId="165" showAll="0"/>
  </pivotFields>
  <rowFields count="1">
    <field x="10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Perda Total" fld="31" baseField="0" baseItem="0" numFmtId="165"/>
    <dataField name="% Participação" fld="31" showDataAs="percentOfCol" baseField="0" baseItem="0" numFmtId="9"/>
  </dataFields>
  <formats count="10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outline="0" fieldPosition="0">
        <references count="1">
          <reference field="4294967294" count="1">
            <x v="1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type="all" dataOnly="0" outline="0" fieldPosition="0"/>
    </format>
    <format dxfId="24">
      <pivotArea field="10" type="button" dataOnly="0" labelOnly="1" outline="0" axis="axisRow" fieldPosition="0"/>
    </format>
    <format dxfId="23">
      <pivotArea dataOnly="0" labelOnly="1" fieldPosition="0">
        <references count="1">
          <reference field="10" count="0"/>
        </references>
      </pivotArea>
    </format>
    <format dxfId="22">
      <pivotArea dataOnly="0" labelOnly="1" grandRow="1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C4BCB-BAAC-40A9-BE5E-AD5F7FE440B6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Motivo parada">
  <location ref="B148:D149" firstHeaderRow="0" firstDataRow="1" firstDataCol="0" rowPageCount="1" colPageCount="1"/>
  <pivotFields count="32">
    <pivotField showAll="0"/>
    <pivotField numFmtId="14" showAll="0"/>
    <pivotField numFmtId="14" showAll="0"/>
    <pivotField numFmtId="164" showAll="0"/>
    <pivotField numFmtId="164"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h="1" x="1"/>
        <item x="3"/>
        <item x="6"/>
        <item x="9"/>
        <item x="4"/>
        <item x="12"/>
        <item x="10"/>
        <item x="2"/>
        <item x="7"/>
        <item x="5"/>
        <item x="11"/>
        <item x="0"/>
        <item x="1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  <pivotField numFmtId="10" showAll="0"/>
    <pivotField numFmtId="10" showAll="0"/>
    <pivotField dataField="1" numFmtId="165" showAll="0">
      <items count="57">
        <item x="1"/>
        <item x="14"/>
        <item x="21"/>
        <item x="17"/>
        <item x="3"/>
        <item x="7"/>
        <item x="13"/>
        <item x="9"/>
        <item x="6"/>
        <item x="27"/>
        <item x="33"/>
        <item x="25"/>
        <item x="0"/>
        <item x="46"/>
        <item x="18"/>
        <item x="2"/>
        <item x="8"/>
        <item x="52"/>
        <item x="41"/>
        <item x="36"/>
        <item x="30"/>
        <item x="42"/>
        <item x="4"/>
        <item x="32"/>
        <item x="38"/>
        <item x="15"/>
        <item x="26"/>
        <item x="48"/>
        <item x="45"/>
        <item x="19"/>
        <item x="22"/>
        <item x="50"/>
        <item x="11"/>
        <item x="35"/>
        <item x="23"/>
        <item x="54"/>
        <item x="28"/>
        <item x="43"/>
        <item x="12"/>
        <item x="40"/>
        <item x="10"/>
        <item x="37"/>
        <item x="5"/>
        <item x="29"/>
        <item x="16"/>
        <item x="24"/>
        <item x="31"/>
        <item x="20"/>
        <item x="53"/>
        <item x="51"/>
        <item x="39"/>
        <item x="34"/>
        <item x="49"/>
        <item x="44"/>
        <item x="55"/>
        <item x="47"/>
        <item t="default"/>
      </items>
    </pivotField>
    <pivotField numFmtId="165" showAll="0"/>
    <pivotField dataField="1" numFmtId="165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0" item="2" hier="-1"/>
  </pageFields>
  <dataFields count="3">
    <dataField name="Perda por Parada (R$)" fld="29" baseField="0" baseItem="1"/>
    <dataField name="Perda por Refugo (R%)" fld="23" baseField="0" baseItem="1"/>
    <dataField name="Perda Total (R$)" fld="31" baseField="0" baseItem="0"/>
  </dataFields>
  <formats count="6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2E882-6EA5-4529-9325-29CF2BA096C4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Turnos">
  <location ref="B110:C114" firstHeaderRow="1" firstDataRow="1" firstDataCol="1" rowPageCount="1" colPageCount="1"/>
  <pivotFields count="32">
    <pivotField showAll="0"/>
    <pivotField numFmtId="14" showAll="0"/>
    <pivotField numFmtId="14" showAll="0"/>
    <pivotField numFmtId="164" showAll="0"/>
    <pivotField numFmtId="164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numFmtId="165" showAll="0"/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pageFields count="1">
    <pageField fld="10" item="2" hier="-1"/>
  </pageFields>
  <dataFields count="1">
    <dataField name="Tempo de Parada (Min)" fld="15" baseField="5" baseItem="0"/>
  </dataFields>
  <formats count="2">
    <format dxfId="37">
      <pivotArea outline="0" collapsedLevelsAreSubtotals="1" fieldPosition="0"/>
    </format>
    <format dxfId="36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05B3D-2C71-4606-919A-2DE9CAF4C25C}" name="Tabela dinâmica1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Motivo Parada">
  <location ref="B73:E78" firstHeaderRow="0" firstDataRow="1" firstDataCol="1" rowPageCount="1" colPageCount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axis="axisRow" showAll="0" sortType="descending">
      <items count="15">
        <item h="1" x="1"/>
        <item x="3"/>
        <item x="6"/>
        <item x="9"/>
        <item x="4"/>
        <item x="12"/>
        <item x="10"/>
        <item x="2"/>
        <item x="7"/>
        <item x="5"/>
        <item x="11"/>
        <item x="0"/>
        <item x="13"/>
        <item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0" showAll="0"/>
    <pivotField numFmtId="10" showAll="0"/>
    <pivotField numFmtId="10" showAll="0"/>
    <pivotField numFmtId="165" showAll="0"/>
    <pivotField numFmtId="165" showAll="0"/>
    <pivotField numFmtId="165" showAll="0"/>
  </pivotFields>
  <rowFields count="1">
    <field x="16"/>
  </rowFields>
  <rowItems count="5">
    <i>
      <x v="9"/>
    </i>
    <i>
      <x v="5"/>
    </i>
    <i>
      <x v="1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item="2" hier="-1"/>
  </pageFields>
  <dataFields count="3">
    <dataField name="Tempo Parada" fld="15" baseField="0" baseItem="0"/>
    <dataField name="%Tempo Parada" fld="15" showDataAs="percentOfCol" baseField="0" baseItem="0" numFmtId="9"/>
    <dataField name="% Percentual Acumulado " fld="15" baseField="16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7">
    <format dxfId="44">
      <pivotArea dataOnly="0" labelOnly="1" outline="0" axis="axisValues" fieldPosition="0"/>
    </format>
    <format dxfId="43">
      <pivotArea outline="0" fieldPosition="0">
        <references count="1">
          <reference field="4294967294" count="1">
            <x v="1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outline="0" fieldPosition="0">
        <references count="1">
          <reference field="4294967294" count="1">
            <x v="2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2"/>
          </reference>
          <reference field="16" count="4">
            <x v="3"/>
            <x v="5"/>
            <x v="9"/>
            <x v="11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A3B3A-FD00-4534-9AD1-9A35BE08266F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 rowHeaderCaption="Turno" colHeaderCaption="Turno">
  <location ref="B11:E15" firstHeaderRow="0" firstDataRow="1" firstDataCol="1" rowPageCount="1" colPageCount="1"/>
  <pivotFields count="32">
    <pivotField showAll="0"/>
    <pivotField numFmtId="14" showAll="0"/>
    <pivotField numFmtId="14" showAll="0"/>
    <pivotField numFmtId="164" showAll="0"/>
    <pivotField numFmtId="164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dataField="1" numFmtId="10" showAll="0"/>
    <pivotField dataField="1" numFmtId="10" showAll="0"/>
    <pivotField numFmtId="10" showAll="0"/>
    <pivotField numFmtId="165" showAll="0"/>
    <pivotField numFmtId="165" showAll="0"/>
    <pivotField numFmtId="165" showAll="0"/>
  </pivotFields>
  <rowFields count="1">
    <field x="5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Média Disponibilidade" fld="25" subtotal="average" baseField="5" baseItem="0"/>
    <dataField name="Média Performance" fld="26" subtotal="average" baseField="0" baseItem="0"/>
    <dataField name="Média Qualidade" fld="27" subtotal="average" baseField="0" baseItem="0"/>
  </dataFields>
  <formats count="4"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9B633-89A8-44CD-B9DE-6A5A33F2F997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Máquina">
  <location ref="C76:F80" firstHeaderRow="0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8">
        <item x="4"/>
        <item x="1"/>
        <item x="30"/>
        <item x="14"/>
        <item x="0"/>
        <item x="9"/>
        <item x="10"/>
        <item x="21"/>
        <item x="15"/>
        <item x="8"/>
        <item x="2"/>
        <item x="25"/>
        <item x="3"/>
        <item x="24"/>
        <item x="5"/>
        <item x="39"/>
        <item x="17"/>
        <item x="31"/>
        <item x="41"/>
        <item x="12"/>
        <item x="28"/>
        <item x="34"/>
        <item x="6"/>
        <item x="19"/>
        <item x="40"/>
        <item x="11"/>
        <item x="33"/>
        <item x="18"/>
        <item x="27"/>
        <item x="20"/>
        <item x="16"/>
        <item x="43"/>
        <item x="26"/>
        <item x="35"/>
        <item x="22"/>
        <item x="45"/>
        <item x="7"/>
        <item x="37"/>
        <item x="13"/>
        <item x="42"/>
        <item x="29"/>
        <item x="36"/>
        <item x="44"/>
        <item x="23"/>
        <item x="32"/>
        <item x="38"/>
        <item x="46"/>
        <item t="default"/>
      </items>
    </pivotField>
    <pivotField showAll="0"/>
    <pivotField numFmtId="10" showAll="0"/>
    <pivotField numFmtId="10" showAll="0"/>
    <pivotField numFmtId="10" showAll="0"/>
    <pivotField numFmtId="10" showAll="0"/>
    <pivotField numFmtId="165" showAll="0">
      <items count="57">
        <item x="1"/>
        <item x="14"/>
        <item x="21"/>
        <item x="17"/>
        <item x="3"/>
        <item x="7"/>
        <item x="13"/>
        <item x="9"/>
        <item x="6"/>
        <item x="27"/>
        <item x="33"/>
        <item x="25"/>
        <item x="0"/>
        <item x="46"/>
        <item x="18"/>
        <item x="2"/>
        <item x="8"/>
        <item x="52"/>
        <item x="41"/>
        <item x="36"/>
        <item x="30"/>
        <item x="42"/>
        <item x="4"/>
        <item x="32"/>
        <item x="38"/>
        <item x="15"/>
        <item x="26"/>
        <item x="48"/>
        <item x="45"/>
        <item x="19"/>
        <item x="22"/>
        <item x="50"/>
        <item x="11"/>
        <item x="35"/>
        <item x="23"/>
        <item x="54"/>
        <item x="28"/>
        <item x="43"/>
        <item x="12"/>
        <item x="40"/>
        <item x="10"/>
        <item x="37"/>
        <item x="5"/>
        <item x="29"/>
        <item x="16"/>
        <item x="24"/>
        <item x="31"/>
        <item x="20"/>
        <item x="53"/>
        <item x="51"/>
        <item x="39"/>
        <item x="34"/>
        <item x="49"/>
        <item x="44"/>
        <item x="55"/>
        <item x="47"/>
        <item t="default"/>
      </items>
    </pivotField>
    <pivotField numFmtId="165" showAll="0"/>
    <pivotField dataField="1" numFmtId="165" showAll="0"/>
  </pivotFields>
  <rowFields count="1">
    <field x="10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Perda Total" fld="31" baseField="10" baseItem="2"/>
    <dataField name="% de Perda" fld="31" showDataAs="percentOfCol" baseField="10" baseItem="0" numFmtId="10"/>
    <dataField name="% Acumulado" fld="31" baseField="1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10" count="0"/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A7926-665B-4B65-88E3-D3790EA7749E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Máquina">
  <location ref="C40:E44" firstHeaderRow="0" firstDataRow="1" firstDataCol="1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8">
        <item x="4"/>
        <item x="1"/>
        <item x="30"/>
        <item x="14"/>
        <item x="0"/>
        <item x="9"/>
        <item x="10"/>
        <item x="21"/>
        <item x="15"/>
        <item x="8"/>
        <item x="2"/>
        <item x="25"/>
        <item x="3"/>
        <item x="24"/>
        <item x="5"/>
        <item x="39"/>
        <item x="17"/>
        <item x="31"/>
        <item x="41"/>
        <item x="12"/>
        <item x="28"/>
        <item x="34"/>
        <item x="6"/>
        <item x="19"/>
        <item x="40"/>
        <item x="11"/>
        <item x="33"/>
        <item x="18"/>
        <item x="27"/>
        <item x="20"/>
        <item x="16"/>
        <item x="43"/>
        <item x="26"/>
        <item x="35"/>
        <item x="22"/>
        <item x="45"/>
        <item x="7"/>
        <item x="37"/>
        <item x="13"/>
        <item x="42"/>
        <item x="29"/>
        <item x="36"/>
        <item x="44"/>
        <item x="23"/>
        <item x="32"/>
        <item x="38"/>
        <item x="46"/>
        <item t="default"/>
      </items>
    </pivotField>
    <pivotField showAll="0"/>
    <pivotField numFmtId="10" showAll="0"/>
    <pivotField numFmtId="10" showAll="0"/>
    <pivotField numFmtId="10" showAll="0"/>
    <pivotField numFmtId="10" showAll="0"/>
    <pivotField numFmtId="165" showAll="0">
      <items count="57">
        <item x="1"/>
        <item x="14"/>
        <item x="21"/>
        <item x="17"/>
        <item x="3"/>
        <item x="7"/>
        <item x="13"/>
        <item x="9"/>
        <item x="6"/>
        <item x="27"/>
        <item x="33"/>
        <item x="25"/>
        <item x="0"/>
        <item x="46"/>
        <item x="18"/>
        <item x="2"/>
        <item x="8"/>
        <item x="52"/>
        <item x="41"/>
        <item x="36"/>
        <item x="30"/>
        <item x="42"/>
        <item x="4"/>
        <item x="32"/>
        <item x="38"/>
        <item x="15"/>
        <item x="26"/>
        <item x="48"/>
        <item x="45"/>
        <item x="19"/>
        <item x="22"/>
        <item x="50"/>
        <item x="11"/>
        <item x="35"/>
        <item x="23"/>
        <item x="54"/>
        <item x="28"/>
        <item x="43"/>
        <item x="12"/>
        <item x="40"/>
        <item x="10"/>
        <item x="37"/>
        <item x="5"/>
        <item x="29"/>
        <item x="16"/>
        <item x="24"/>
        <item x="31"/>
        <item x="20"/>
        <item x="53"/>
        <item x="51"/>
        <item x="39"/>
        <item x="34"/>
        <item x="49"/>
        <item x="44"/>
        <item x="55"/>
        <item x="47"/>
        <item t="default"/>
      </items>
    </pivotField>
    <pivotField numFmtId="165" showAll="0"/>
    <pivotField dataField="1" numFmtId="165" showAll="0"/>
  </pivotFields>
  <rowFields count="1">
    <field x="10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Perda Total" fld="31" baseField="10" baseItem="2"/>
    <dataField name="% de Perda" fld="31" showDataAs="percentOfCol" baseField="10" baseItem="0" numFmtId="1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outline="0" fieldPosition="0">
        <references count="1">
          <reference field="4294967294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93B6C-2515-4AD8-9D8A-A8E7A95B11B0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C9:E10" firstHeaderRow="0" firstDataRow="1" firstDataCol="0"/>
  <pivotFields count="32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8">
        <item x="4"/>
        <item x="1"/>
        <item x="30"/>
        <item x="14"/>
        <item x="0"/>
        <item x="9"/>
        <item x="10"/>
        <item x="21"/>
        <item x="15"/>
        <item x="8"/>
        <item x="2"/>
        <item x="25"/>
        <item x="3"/>
        <item x="24"/>
        <item x="5"/>
        <item x="39"/>
        <item x="17"/>
        <item x="31"/>
        <item x="41"/>
        <item x="12"/>
        <item x="28"/>
        <item x="34"/>
        <item x="6"/>
        <item x="19"/>
        <item x="40"/>
        <item x="11"/>
        <item x="33"/>
        <item x="18"/>
        <item x="27"/>
        <item x="20"/>
        <item x="16"/>
        <item x="43"/>
        <item x="26"/>
        <item x="35"/>
        <item x="22"/>
        <item x="45"/>
        <item x="7"/>
        <item x="37"/>
        <item x="13"/>
        <item x="42"/>
        <item x="29"/>
        <item x="36"/>
        <item x="44"/>
        <item x="23"/>
        <item x="32"/>
        <item x="38"/>
        <item x="46"/>
        <item t="default"/>
      </items>
    </pivotField>
    <pivotField showAll="0"/>
    <pivotField numFmtId="10" showAll="0"/>
    <pivotField numFmtId="10" showAll="0"/>
    <pivotField numFmtId="10" showAll="0"/>
    <pivotField numFmtId="10" showAll="0"/>
    <pivotField dataField="1" numFmtId="165" showAll="0">
      <items count="57">
        <item x="1"/>
        <item x="14"/>
        <item x="21"/>
        <item x="17"/>
        <item x="3"/>
        <item x="7"/>
        <item x="13"/>
        <item x="9"/>
        <item x="6"/>
        <item x="27"/>
        <item x="33"/>
        <item x="25"/>
        <item x="0"/>
        <item x="46"/>
        <item x="18"/>
        <item x="2"/>
        <item x="8"/>
        <item x="52"/>
        <item x="41"/>
        <item x="36"/>
        <item x="30"/>
        <item x="42"/>
        <item x="4"/>
        <item x="32"/>
        <item x="38"/>
        <item x="15"/>
        <item x="26"/>
        <item x="48"/>
        <item x="45"/>
        <item x="19"/>
        <item x="22"/>
        <item x="50"/>
        <item x="11"/>
        <item x="35"/>
        <item x="23"/>
        <item x="54"/>
        <item x="28"/>
        <item x="43"/>
        <item x="12"/>
        <item x="40"/>
        <item x="10"/>
        <item x="37"/>
        <item x="5"/>
        <item x="29"/>
        <item x="16"/>
        <item x="24"/>
        <item x="31"/>
        <item x="20"/>
        <item x="53"/>
        <item x="51"/>
        <item x="39"/>
        <item x="34"/>
        <item x="49"/>
        <item x="44"/>
        <item x="55"/>
        <item x="47"/>
        <item t="default"/>
      </items>
    </pivotField>
    <pivotField numFmtId="165" showAll="0"/>
    <pivotField dataField="1" numFmtId="165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Perda por Refudo" fld="23" baseField="0" baseItem="0"/>
    <dataField name="Perda por Parada" fld="29" baseField="0" baseItem="0"/>
    <dataField name="Perda Total" fld="31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5F01EE2-1AD4-44F2-A9EC-63567D3EFCD3}" autoFormatId="16" applyNumberFormats="0" applyBorderFormats="0" applyFontFormats="0" applyPatternFormats="0" applyAlignmentFormats="0" applyWidthHeightFormats="0">
  <queryTableRefresh nextId="40">
    <queryTableFields count="32">
      <queryTableField id="1" name="id_registro" tableColumnId="1"/>
      <queryTableField id="2" name="data_inicio" tableColumnId="2"/>
      <queryTableField id="3" name="data_fim" tableColumnId="3"/>
      <queryTableField id="4" name="hora_inicio" tableColumnId="4"/>
      <queryTableField id="5" name="hora_fim" tableColumnId="5"/>
      <queryTableField id="6" name="turno" tableColumnId="6"/>
      <queryTableField id="7" name="id_ordem_producao" tableColumnId="7"/>
      <queryTableField id="8" name="local_de_envio" tableColumnId="8"/>
      <queryTableField id="9" name="id_produto" tableColumnId="9"/>
      <queryTableField id="10" name="nome_produto" tableColumnId="10"/>
      <queryTableField id="11" name="id_maquina" tableColumnId="11"/>
      <queryTableField id="12" name="id_linha_producao" tableColumnId="12"/>
      <queryTableField id="13" name="quantidade_planejada_hora" tableColumnId="13"/>
      <queryTableField id="14" name="tempo_ciclo_teorico_segundos" tableColumnId="14"/>
      <queryTableField id="15" name="tempo_producao_planejado_minutos" tableColumnId="15"/>
      <queryTableField id="16" name="tempo_parada_minutos" tableColumnId="16"/>
      <queryTableField id="17" name="motivo_parada" tableColumnId="17"/>
      <queryTableField id="18" name="quantidade_produzida_total" tableColumnId="18"/>
      <queryTableField id="19" name="quantidade_boa" tableColumnId="19"/>
      <queryTableField id="20" name="quantidade_refugada" tableColumnId="20"/>
      <queryTableField id="21" name="id_operador" tableColumnId="21"/>
      <queryTableField id="22" name="nome_operador" tableColumnId="22"/>
      <queryTableField id="30" name="custo_unitario" tableColumnId="23"/>
      <queryTableField id="37" name="prejuizo_refugo" tableColumnId="24"/>
      <queryTableField id="25" name="tempo_em_operacao" tableColumnId="25"/>
      <queryTableField id="26" name="disponibilidade" tableColumnId="26"/>
      <queryTableField id="27" name="performance" tableColumnId="27"/>
      <queryTableField id="28" name="qualidade" tableColumnId="28"/>
      <queryTableField id="29" name="oee" tableColumnId="29"/>
      <queryTableField id="32" name="perda_por_parada" tableColumnId="30"/>
      <queryTableField id="33" name="valor_realizado" tableColumnId="31"/>
      <queryTableField id="39" name="perda_total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D9115-9A27-436E-975F-4C8DB4FA834C}" name="Base_Analitica_Producao" displayName="Base_Analitica_Producao" ref="A1:AF333" tableType="queryTable" totalsRowShown="0">
  <autoFilter ref="A1:AF333" xr:uid="{A1FD9115-9A27-436E-975F-4C8DB4FA834C}"/>
  <tableColumns count="32">
    <tableColumn id="1" xr3:uid="{87E79BA8-953E-4A01-8253-9775229FDFC6}" uniqueName="1" name="id_registro" queryTableFieldId="1"/>
    <tableColumn id="2" xr3:uid="{87024B9A-D477-419F-97D1-866185CFB6F0}" uniqueName="2" name="data_inicio" queryTableFieldId="2" dataDxfId="129"/>
    <tableColumn id="3" xr3:uid="{B8C260E3-377A-499D-A20E-D3B4E7361B34}" uniqueName="3" name="data_fim" queryTableFieldId="3" dataDxfId="128"/>
    <tableColumn id="4" xr3:uid="{A8EE77BD-CB25-48EB-B7E3-D4C1ADAB5AD4}" uniqueName="4" name="hora_inicio" queryTableFieldId="4" dataDxfId="127"/>
    <tableColumn id="5" xr3:uid="{61E89244-1341-4458-9F7C-3B07D1147DAD}" uniqueName="5" name="hora_fim" queryTableFieldId="5" dataDxfId="126"/>
    <tableColumn id="6" xr3:uid="{B33AAF18-3E01-4E89-ACB6-28071FA01614}" uniqueName="6" name="turno" queryTableFieldId="6" dataDxfId="125"/>
    <tableColumn id="7" xr3:uid="{11C73014-8FA7-4729-B59B-C750F93CEFDC}" uniqueName="7" name="id_ordem_producao" queryTableFieldId="7" dataDxfId="124"/>
    <tableColumn id="8" xr3:uid="{6993AD9F-3178-4F65-8072-DF2E633FDBEA}" uniqueName="8" name="local_de_envio" queryTableFieldId="8" dataDxfId="123"/>
    <tableColumn id="9" xr3:uid="{3AE9EF03-0C99-4E9E-A636-F0FCCDA7B3B5}" uniqueName="9" name="id_produto" queryTableFieldId="9" dataDxfId="122"/>
    <tableColumn id="10" xr3:uid="{D4CC0132-9CC1-4CCF-8FE5-26617331E7F4}" uniqueName="10" name="nome_produto" queryTableFieldId="10" dataDxfId="121"/>
    <tableColumn id="11" xr3:uid="{B9351335-1685-4FD5-81CF-70E01637D459}" uniqueName="11" name="id_maquina" queryTableFieldId="11" dataDxfId="120"/>
    <tableColumn id="12" xr3:uid="{F0AB4D75-20E7-44A5-A48D-A81CD0483542}" uniqueName="12" name="id_linha_producao" queryTableFieldId="12" dataDxfId="119"/>
    <tableColumn id="13" xr3:uid="{BC93CF83-A51C-4B61-B5AE-E80B5E5686FE}" uniqueName="13" name="quantidade_planejada_hora" queryTableFieldId="13"/>
    <tableColumn id="14" xr3:uid="{66F9E359-A625-46DC-985F-D51880D998CC}" uniqueName="14" name="tempo_ciclo_teorico_segundos" queryTableFieldId="14"/>
    <tableColumn id="15" xr3:uid="{A1E31646-3F66-4390-AE16-C80991AD7A56}" uniqueName="15" name="tempo_producao_planejado_minutos" queryTableFieldId="15"/>
    <tableColumn id="16" xr3:uid="{EA51E7A4-01D7-46D8-9C3E-A0A34925239A}" uniqueName="16" name="tempo_parada_minutos" queryTableFieldId="16"/>
    <tableColumn id="17" xr3:uid="{469947A8-2B1C-40DF-9D74-AC178CA4F6F9}" uniqueName="17" name="motivo_parada" queryTableFieldId="17" dataDxfId="118"/>
    <tableColumn id="18" xr3:uid="{B231D7B3-A6A3-4AFF-AFBB-4B6D43918D88}" uniqueName="18" name="quantidade_produzida_total" queryTableFieldId="18"/>
    <tableColumn id="19" xr3:uid="{8B70BB23-356D-479C-B78C-63C143B5A359}" uniqueName="19" name="quantidade_boa" queryTableFieldId="19"/>
    <tableColumn id="20" xr3:uid="{43647574-2374-4B3A-9D9A-5B4927BD8FDD}" uniqueName="20" name="quantidade_refugada" queryTableFieldId="20"/>
    <tableColumn id="21" xr3:uid="{F544DFD7-D534-4B76-B778-CF0F2B8BC5B9}" uniqueName="21" name="id_operador" queryTableFieldId="21" dataDxfId="117"/>
    <tableColumn id="22" xr3:uid="{A0C5D1BB-3172-48E7-B080-0AB8D7D3AF51}" uniqueName="22" name="nome_operador" queryTableFieldId="22" dataDxfId="116"/>
    <tableColumn id="23" xr3:uid="{34E23480-E169-48D2-BF02-49E0B3E4D3C3}" uniqueName="23" name="custo_unitario" queryTableFieldId="30" dataCellStyle="Porcentagem"/>
    <tableColumn id="24" xr3:uid="{3B848D67-AE0A-4BDA-96C8-2982ED59BEF6}" uniqueName="24" name="prejuizo_refugo" queryTableFieldId="37" dataCellStyle="Moeda"/>
    <tableColumn id="25" xr3:uid="{A3D92C31-176D-4A86-A044-E06CE893F273}" uniqueName="25" name="tempo_em_operacao" queryTableFieldId="25"/>
    <tableColumn id="26" xr3:uid="{CE8FE622-2CC7-4505-B519-FF318DE384B9}" uniqueName="26" name="disponibilidade" queryTableFieldId="26" dataDxfId="115" dataCellStyle="Porcentagem"/>
    <tableColumn id="27" xr3:uid="{3A41F519-24A0-4114-A780-8379AED58580}" uniqueName="27" name="performance" queryTableFieldId="27" dataDxfId="114" dataCellStyle="Porcentagem"/>
    <tableColumn id="28" xr3:uid="{B4F2403A-2D50-4EF8-A488-4C393883364D}" uniqueName="28" name="qualidade" queryTableFieldId="28" dataDxfId="113" dataCellStyle="Porcentagem"/>
    <tableColumn id="29" xr3:uid="{1850CD93-8B85-4D91-A04F-3A1B521B9826}" uniqueName="29" name="oee" queryTableFieldId="29" dataDxfId="112" dataCellStyle="Porcentagem"/>
    <tableColumn id="30" xr3:uid="{80BC81D1-C9B3-4AB9-A0BB-38D6FBE8E75C}" uniqueName="30" name="perda_por_parada" queryTableFieldId="32" dataDxfId="111" dataCellStyle="Porcentagem"/>
    <tableColumn id="31" xr3:uid="{F04453C5-43E3-4C02-8A34-9196158C0FBE}" uniqueName="31" name="valor_realizado" queryTableFieldId="33" dataDxfId="110" dataCellStyle="Moeda"/>
    <tableColumn id="32" xr3:uid="{2279B9E0-7A7B-4859-9A26-9504E00990BF}" uniqueName="32" name="perda_total" queryTableFieldId="39" dataCellStyle="Porcentagem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7" Type="http://schemas.openxmlformats.org/officeDocument/2006/relationships/drawing" Target="../drawings/drawing4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FA6E-E99B-4FC8-9143-4B2DBCEA43D2}">
  <dimension ref="A1:AJ333"/>
  <sheetViews>
    <sheetView topLeftCell="A2" workbookViewId="0">
      <selection sqref="A1:AF333"/>
    </sheetView>
  </sheetViews>
  <sheetFormatPr defaultRowHeight="15" x14ac:dyDescent="0.25"/>
  <cols>
    <col min="1" max="1" width="12.85546875" bestFit="1" customWidth="1"/>
    <col min="2" max="2" width="13" bestFit="1" customWidth="1"/>
    <col min="3" max="3" width="11.140625" bestFit="1" customWidth="1"/>
    <col min="4" max="4" width="13.140625" bestFit="1" customWidth="1"/>
    <col min="5" max="5" width="11.28515625" bestFit="1" customWidth="1"/>
    <col min="6" max="6" width="8.140625" bestFit="1" customWidth="1"/>
    <col min="7" max="7" width="21.42578125" bestFit="1" customWidth="1"/>
    <col min="8" max="8" width="18.140625" bestFit="1" customWidth="1"/>
    <col min="9" max="9" width="13.140625" bestFit="1" customWidth="1"/>
    <col min="10" max="10" width="16.7109375" bestFit="1" customWidth="1"/>
    <col min="11" max="11" width="13.7109375" bestFit="1" customWidth="1"/>
    <col min="12" max="12" width="20" bestFit="1" customWidth="1"/>
    <col min="13" max="13" width="28.7109375" bestFit="1" customWidth="1"/>
    <col min="14" max="14" width="31.42578125" bestFit="1" customWidth="1"/>
    <col min="15" max="15" width="37.42578125" bestFit="1" customWidth="1"/>
    <col min="16" max="16" width="24.85546875" bestFit="1" customWidth="1"/>
    <col min="17" max="17" width="33.85546875" bestFit="1" customWidth="1"/>
    <col min="18" max="18" width="29" bestFit="1" customWidth="1"/>
    <col min="19" max="19" width="17.85546875" bestFit="1" customWidth="1"/>
    <col min="20" max="20" width="22.5703125" bestFit="1" customWidth="1"/>
    <col min="21" max="21" width="14.140625" bestFit="1" customWidth="1"/>
    <col min="22" max="22" width="17.7109375" bestFit="1" customWidth="1"/>
    <col min="23" max="23" width="16.140625" bestFit="1" customWidth="1"/>
    <col min="24" max="24" width="17.5703125" bestFit="1" customWidth="1"/>
    <col min="25" max="25" width="22.42578125" bestFit="1" customWidth="1"/>
    <col min="26" max="26" width="17.28515625" style="4" bestFit="1" customWidth="1"/>
    <col min="27" max="27" width="14.7109375" style="4" bestFit="1" customWidth="1"/>
    <col min="28" max="28" width="12.140625" style="4" bestFit="1" customWidth="1"/>
    <col min="29" max="29" width="8.140625" style="4" bestFit="1" customWidth="1"/>
    <col min="30" max="30" width="19.7109375" style="7" bestFit="1" customWidth="1"/>
    <col min="31" max="31" width="17" style="5" bestFit="1" customWidth="1"/>
    <col min="32" max="32" width="13.5703125" style="5" bestFit="1" customWidth="1"/>
    <col min="33" max="34" width="15.85546875" style="5" bestFit="1" customWidth="1"/>
    <col min="35" max="35" width="12.140625" style="4" bestFit="1" customWidth="1"/>
    <col min="36" max="36" width="12" style="4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405</v>
      </c>
      <c r="X1" t="s">
        <v>409</v>
      </c>
      <c r="Y1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6" t="s">
        <v>406</v>
      </c>
      <c r="AE1" s="5" t="s">
        <v>407</v>
      </c>
      <c r="AF1" t="s">
        <v>466</v>
      </c>
      <c r="AG1"/>
      <c r="AH1"/>
      <c r="AI1"/>
      <c r="AJ1"/>
    </row>
    <row r="2" spans="1:36" x14ac:dyDescent="0.25">
      <c r="A2">
        <v>1</v>
      </c>
      <c r="B2" s="1">
        <v>46023</v>
      </c>
      <c r="C2" s="1">
        <v>46023</v>
      </c>
      <c r="D2" s="2">
        <v>0.29166666666666669</v>
      </c>
      <c r="E2" s="2">
        <v>0.33333333333333331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>
        <v>100</v>
      </c>
      <c r="N2">
        <v>36</v>
      </c>
      <c r="O2">
        <v>60</v>
      </c>
      <c r="P2">
        <v>9</v>
      </c>
      <c r="Q2" s="3" t="s">
        <v>34</v>
      </c>
      <c r="R2">
        <v>88</v>
      </c>
      <c r="S2">
        <v>85</v>
      </c>
      <c r="T2">
        <v>3</v>
      </c>
      <c r="U2" s="3" t="s">
        <v>35</v>
      </c>
      <c r="V2" s="3" t="s">
        <v>36</v>
      </c>
      <c r="W2">
        <v>50</v>
      </c>
      <c r="X2">
        <v>150</v>
      </c>
      <c r="Y2">
        <v>51</v>
      </c>
      <c r="Z2" s="4">
        <v>0.85</v>
      </c>
      <c r="AA2" s="4">
        <v>1.03529411764706</v>
      </c>
      <c r="AB2" s="4">
        <v>0.96590909090909105</v>
      </c>
      <c r="AC2" s="4">
        <v>0.85000000000000098</v>
      </c>
      <c r="AD2" s="6">
        <v>750</v>
      </c>
      <c r="AE2" s="5">
        <v>4250</v>
      </c>
      <c r="AF2">
        <v>900</v>
      </c>
      <c r="AG2"/>
      <c r="AH2"/>
      <c r="AI2"/>
      <c r="AJ2"/>
    </row>
    <row r="3" spans="1:36" x14ac:dyDescent="0.25">
      <c r="A3">
        <v>2</v>
      </c>
      <c r="B3" s="1">
        <v>46023</v>
      </c>
      <c r="C3" s="1">
        <v>46023</v>
      </c>
      <c r="D3" s="2">
        <v>0.33333333333333331</v>
      </c>
      <c r="E3" s="2">
        <v>0.375</v>
      </c>
      <c r="F3" s="3" t="s">
        <v>27</v>
      </c>
      <c r="G3" s="3" t="s">
        <v>37</v>
      </c>
      <c r="H3" s="3" t="s">
        <v>38</v>
      </c>
      <c r="I3" s="3" t="s">
        <v>30</v>
      </c>
      <c r="J3" s="3" t="s">
        <v>31</v>
      </c>
      <c r="K3" s="3" t="s">
        <v>32</v>
      </c>
      <c r="L3" s="3" t="s">
        <v>33</v>
      </c>
      <c r="M3">
        <v>100</v>
      </c>
      <c r="N3">
        <v>36</v>
      </c>
      <c r="O3">
        <v>60</v>
      </c>
      <c r="P3">
        <v>0</v>
      </c>
      <c r="Q3" s="3" t="s">
        <v>39</v>
      </c>
      <c r="R3">
        <v>88</v>
      </c>
      <c r="S3">
        <v>87</v>
      </c>
      <c r="T3">
        <v>1</v>
      </c>
      <c r="U3" s="3" t="s">
        <v>35</v>
      </c>
      <c r="V3" s="3" t="s">
        <v>36</v>
      </c>
      <c r="W3">
        <v>50</v>
      </c>
      <c r="X3">
        <v>50</v>
      </c>
      <c r="Y3">
        <v>60</v>
      </c>
      <c r="Z3" s="4">
        <v>1</v>
      </c>
      <c r="AA3" s="4">
        <v>0.88</v>
      </c>
      <c r="AB3" s="4">
        <v>0.98863636363636398</v>
      </c>
      <c r="AC3" s="4">
        <v>0.87</v>
      </c>
      <c r="AD3" s="6">
        <v>0</v>
      </c>
      <c r="AE3" s="5">
        <v>4350</v>
      </c>
      <c r="AF3">
        <v>50</v>
      </c>
      <c r="AG3"/>
      <c r="AH3"/>
      <c r="AI3"/>
      <c r="AJ3"/>
    </row>
    <row r="4" spans="1:36" x14ac:dyDescent="0.25">
      <c r="A4">
        <v>3</v>
      </c>
      <c r="B4" s="1">
        <v>46023</v>
      </c>
      <c r="C4" s="1">
        <v>46023</v>
      </c>
      <c r="D4" s="2">
        <v>0.375</v>
      </c>
      <c r="E4" s="2">
        <v>0.41666666666666669</v>
      </c>
      <c r="F4" s="3" t="s">
        <v>27</v>
      </c>
      <c r="G4" s="3" t="s">
        <v>40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>
        <v>100</v>
      </c>
      <c r="N4">
        <v>36</v>
      </c>
      <c r="O4">
        <v>60</v>
      </c>
      <c r="P4">
        <v>11</v>
      </c>
      <c r="Q4" s="3" t="s">
        <v>41</v>
      </c>
      <c r="R4">
        <v>80</v>
      </c>
      <c r="S4">
        <v>73</v>
      </c>
      <c r="T4">
        <v>7</v>
      </c>
      <c r="U4" s="3" t="s">
        <v>42</v>
      </c>
      <c r="V4" s="3" t="s">
        <v>43</v>
      </c>
      <c r="W4">
        <v>50</v>
      </c>
      <c r="X4">
        <v>350</v>
      </c>
      <c r="Y4">
        <v>49</v>
      </c>
      <c r="Z4" s="4">
        <v>0.81666666666666698</v>
      </c>
      <c r="AA4" s="4">
        <v>0.97959183673469397</v>
      </c>
      <c r="AB4" s="4">
        <v>0.91249999999999998</v>
      </c>
      <c r="AC4" s="4">
        <v>0.73</v>
      </c>
      <c r="AD4" s="6">
        <v>916.66669999999999</v>
      </c>
      <c r="AE4" s="5">
        <v>3650</v>
      </c>
      <c r="AF4">
        <v>1266.6667</v>
      </c>
      <c r="AG4"/>
      <c r="AH4"/>
      <c r="AI4"/>
      <c r="AJ4"/>
    </row>
    <row r="5" spans="1:36" x14ac:dyDescent="0.25">
      <c r="A5">
        <v>4</v>
      </c>
      <c r="B5" s="1">
        <v>46023</v>
      </c>
      <c r="C5" s="1">
        <v>46023</v>
      </c>
      <c r="D5" s="2">
        <v>0.41666666666666669</v>
      </c>
      <c r="E5" s="2">
        <v>0.45833333333333331</v>
      </c>
      <c r="F5" s="3" t="s">
        <v>27</v>
      </c>
      <c r="G5" s="3" t="s">
        <v>44</v>
      </c>
      <c r="H5" s="3" t="s">
        <v>29</v>
      </c>
      <c r="I5" s="3" t="s">
        <v>45</v>
      </c>
      <c r="J5" s="3" t="s">
        <v>46</v>
      </c>
      <c r="K5" s="3" t="s">
        <v>47</v>
      </c>
      <c r="L5" s="3" t="s">
        <v>33</v>
      </c>
      <c r="M5">
        <v>120</v>
      </c>
      <c r="N5">
        <v>30</v>
      </c>
      <c r="O5">
        <v>60</v>
      </c>
      <c r="P5">
        <v>2</v>
      </c>
      <c r="Q5" s="3" t="s">
        <v>48</v>
      </c>
      <c r="R5">
        <v>109</v>
      </c>
      <c r="S5">
        <v>104</v>
      </c>
      <c r="T5">
        <v>5</v>
      </c>
      <c r="U5" s="3" t="s">
        <v>49</v>
      </c>
      <c r="V5" s="3" t="s">
        <v>50</v>
      </c>
      <c r="W5">
        <v>80</v>
      </c>
      <c r="X5">
        <v>400</v>
      </c>
      <c r="Y5">
        <v>58</v>
      </c>
      <c r="Z5" s="4">
        <v>0.96666666666666701</v>
      </c>
      <c r="AA5" s="4">
        <v>0.93965517241379304</v>
      </c>
      <c r="AB5" s="4">
        <v>0.95412844036697197</v>
      </c>
      <c r="AC5" s="4">
        <v>0.86666666666666603</v>
      </c>
      <c r="AD5" s="6">
        <v>320</v>
      </c>
      <c r="AE5" s="5">
        <v>8320</v>
      </c>
      <c r="AF5">
        <v>720</v>
      </c>
      <c r="AG5"/>
      <c r="AH5"/>
      <c r="AI5"/>
      <c r="AJ5"/>
    </row>
    <row r="6" spans="1:36" x14ac:dyDescent="0.25">
      <c r="A6">
        <v>5</v>
      </c>
      <c r="B6" s="1">
        <v>46023</v>
      </c>
      <c r="C6" s="1">
        <v>46023</v>
      </c>
      <c r="D6" s="2">
        <v>0.45833333333333331</v>
      </c>
      <c r="E6" s="2">
        <v>0.5</v>
      </c>
      <c r="F6" s="3" t="s">
        <v>27</v>
      </c>
      <c r="G6" s="3" t="s">
        <v>51</v>
      </c>
      <c r="H6" s="3" t="s">
        <v>29</v>
      </c>
      <c r="I6" s="3" t="s">
        <v>45</v>
      </c>
      <c r="J6" s="3" t="s">
        <v>46</v>
      </c>
      <c r="K6" s="3" t="s">
        <v>47</v>
      </c>
      <c r="L6" s="3" t="s">
        <v>33</v>
      </c>
      <c r="M6">
        <v>120</v>
      </c>
      <c r="N6">
        <v>30</v>
      </c>
      <c r="O6">
        <v>60</v>
      </c>
      <c r="P6">
        <v>0</v>
      </c>
      <c r="Q6" s="3" t="s">
        <v>39</v>
      </c>
      <c r="R6">
        <v>123</v>
      </c>
      <c r="S6">
        <v>123</v>
      </c>
      <c r="T6">
        <v>0</v>
      </c>
      <c r="U6" s="3" t="s">
        <v>49</v>
      </c>
      <c r="V6" s="3" t="s">
        <v>50</v>
      </c>
      <c r="W6">
        <v>80</v>
      </c>
      <c r="X6">
        <v>0</v>
      </c>
      <c r="Y6">
        <v>60</v>
      </c>
      <c r="Z6" s="4">
        <v>1</v>
      </c>
      <c r="AA6" s="4">
        <v>1.0249999999999999</v>
      </c>
      <c r="AB6" s="4">
        <v>1</v>
      </c>
      <c r="AC6" s="4">
        <v>1.0249999999999999</v>
      </c>
      <c r="AD6" s="6">
        <v>0</v>
      </c>
      <c r="AE6" s="5">
        <v>9840</v>
      </c>
      <c r="AF6">
        <v>0</v>
      </c>
      <c r="AG6"/>
      <c r="AH6"/>
      <c r="AI6"/>
      <c r="AJ6"/>
    </row>
    <row r="7" spans="1:36" x14ac:dyDescent="0.25">
      <c r="A7">
        <v>6</v>
      </c>
      <c r="B7" s="1">
        <v>46023</v>
      </c>
      <c r="C7" s="1">
        <v>46023</v>
      </c>
      <c r="D7" s="2">
        <v>0.5</v>
      </c>
      <c r="E7" s="2">
        <v>0.54166666666666663</v>
      </c>
      <c r="F7" s="3" t="s">
        <v>27</v>
      </c>
      <c r="G7" s="3" t="s">
        <v>52</v>
      </c>
      <c r="H7" s="3" t="s">
        <v>38</v>
      </c>
      <c r="I7" s="3" t="s">
        <v>45</v>
      </c>
      <c r="J7" s="3" t="s">
        <v>46</v>
      </c>
      <c r="K7" s="3" t="s">
        <v>47</v>
      </c>
      <c r="L7" s="3" t="s">
        <v>33</v>
      </c>
      <c r="M7">
        <v>120</v>
      </c>
      <c r="N7">
        <v>30</v>
      </c>
      <c r="O7">
        <v>60</v>
      </c>
      <c r="P7">
        <v>8</v>
      </c>
      <c r="Q7" s="3" t="s">
        <v>53</v>
      </c>
      <c r="R7">
        <v>105</v>
      </c>
      <c r="S7">
        <v>98</v>
      </c>
      <c r="T7">
        <v>7</v>
      </c>
      <c r="U7" s="3" t="s">
        <v>54</v>
      </c>
      <c r="V7" s="3" t="s">
        <v>55</v>
      </c>
      <c r="W7">
        <v>80</v>
      </c>
      <c r="X7">
        <v>560</v>
      </c>
      <c r="Y7">
        <v>52</v>
      </c>
      <c r="Z7" s="4">
        <v>0.86666666666666703</v>
      </c>
      <c r="AA7" s="4">
        <v>1.0096153846153799</v>
      </c>
      <c r="AB7" s="4">
        <v>0.93333333333333302</v>
      </c>
      <c r="AC7" s="4">
        <v>0.81666666666666299</v>
      </c>
      <c r="AD7" s="6">
        <v>1280</v>
      </c>
      <c r="AE7" s="5">
        <v>7840</v>
      </c>
      <c r="AF7">
        <v>1840</v>
      </c>
      <c r="AG7"/>
      <c r="AH7"/>
      <c r="AI7"/>
      <c r="AJ7"/>
    </row>
    <row r="8" spans="1:36" x14ac:dyDescent="0.25">
      <c r="A8">
        <v>7</v>
      </c>
      <c r="B8" s="1">
        <v>46023</v>
      </c>
      <c r="C8" s="1">
        <v>46023</v>
      </c>
      <c r="D8" s="2">
        <v>0.54166666666666663</v>
      </c>
      <c r="E8" s="2">
        <v>0.58333333333333337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  <c r="L8" s="3" t="s">
        <v>62</v>
      </c>
      <c r="M8">
        <v>80</v>
      </c>
      <c r="N8">
        <v>45</v>
      </c>
      <c r="O8">
        <v>60</v>
      </c>
      <c r="P8">
        <v>8</v>
      </c>
      <c r="Q8" s="3" t="s">
        <v>34</v>
      </c>
      <c r="R8">
        <v>70</v>
      </c>
      <c r="S8">
        <v>70</v>
      </c>
      <c r="T8">
        <v>0</v>
      </c>
      <c r="U8" s="3" t="s">
        <v>63</v>
      </c>
      <c r="V8" s="3" t="s">
        <v>64</v>
      </c>
      <c r="W8">
        <v>120</v>
      </c>
      <c r="X8">
        <v>0</v>
      </c>
      <c r="Y8">
        <v>52</v>
      </c>
      <c r="Z8" s="4">
        <v>0.86666666666666703</v>
      </c>
      <c r="AA8" s="4">
        <v>1.0096153846153799</v>
      </c>
      <c r="AB8" s="4">
        <v>1</v>
      </c>
      <c r="AC8" s="4">
        <v>0.874999999999996</v>
      </c>
      <c r="AD8" s="6">
        <v>1280</v>
      </c>
      <c r="AE8" s="5">
        <v>8400</v>
      </c>
      <c r="AF8">
        <v>1280</v>
      </c>
      <c r="AG8"/>
      <c r="AH8"/>
      <c r="AI8"/>
      <c r="AJ8"/>
    </row>
    <row r="9" spans="1:36" x14ac:dyDescent="0.25">
      <c r="A9">
        <v>8</v>
      </c>
      <c r="B9" s="1">
        <v>46023</v>
      </c>
      <c r="C9" s="1">
        <v>46023</v>
      </c>
      <c r="D9" s="2">
        <v>0.58333333333333337</v>
      </c>
      <c r="E9" s="2">
        <v>0.625</v>
      </c>
      <c r="F9" s="3" t="s">
        <v>56</v>
      </c>
      <c r="G9" s="3" t="s">
        <v>65</v>
      </c>
      <c r="H9" s="3" t="s">
        <v>58</v>
      </c>
      <c r="I9" s="3" t="s">
        <v>59</v>
      </c>
      <c r="J9" s="3" t="s">
        <v>60</v>
      </c>
      <c r="K9" s="3" t="s">
        <v>61</v>
      </c>
      <c r="L9" s="3" t="s">
        <v>62</v>
      </c>
      <c r="M9">
        <v>80</v>
      </c>
      <c r="N9">
        <v>45</v>
      </c>
      <c r="O9">
        <v>60</v>
      </c>
      <c r="P9">
        <v>0</v>
      </c>
      <c r="Q9" s="3" t="s">
        <v>39</v>
      </c>
      <c r="R9">
        <v>82</v>
      </c>
      <c r="S9">
        <v>73</v>
      </c>
      <c r="T9">
        <v>9</v>
      </c>
      <c r="U9" s="3" t="s">
        <v>63</v>
      </c>
      <c r="V9" s="3" t="s">
        <v>64</v>
      </c>
      <c r="W9">
        <v>120</v>
      </c>
      <c r="X9">
        <v>1080</v>
      </c>
      <c r="Y9">
        <v>60</v>
      </c>
      <c r="Z9" s="4">
        <v>1</v>
      </c>
      <c r="AA9" s="4">
        <v>1.0249999999999999</v>
      </c>
      <c r="AB9" s="4">
        <v>0.89024390243902396</v>
      </c>
      <c r="AC9" s="4">
        <v>0.91249999999999998</v>
      </c>
      <c r="AD9" s="6">
        <v>0</v>
      </c>
      <c r="AE9" s="5">
        <v>8760</v>
      </c>
      <c r="AF9">
        <v>1080</v>
      </c>
      <c r="AG9"/>
      <c r="AH9"/>
      <c r="AI9"/>
      <c r="AJ9"/>
    </row>
    <row r="10" spans="1:36" x14ac:dyDescent="0.25">
      <c r="A10">
        <v>9</v>
      </c>
      <c r="B10" s="1">
        <v>46023</v>
      </c>
      <c r="C10" s="1">
        <v>46023</v>
      </c>
      <c r="D10" s="2">
        <v>0.625</v>
      </c>
      <c r="E10" s="2">
        <v>0.66666666666666663</v>
      </c>
      <c r="F10" s="3" t="s">
        <v>56</v>
      </c>
      <c r="G10" s="3" t="s">
        <v>66</v>
      </c>
      <c r="H10" s="3" t="s">
        <v>67</v>
      </c>
      <c r="I10" s="3" t="s">
        <v>59</v>
      </c>
      <c r="J10" s="3" t="s">
        <v>60</v>
      </c>
      <c r="K10" s="3" t="s">
        <v>61</v>
      </c>
      <c r="L10" s="3" t="s">
        <v>62</v>
      </c>
      <c r="M10">
        <v>80</v>
      </c>
      <c r="N10">
        <v>45</v>
      </c>
      <c r="O10">
        <v>60</v>
      </c>
      <c r="P10">
        <v>28</v>
      </c>
      <c r="Q10" s="3" t="s">
        <v>68</v>
      </c>
      <c r="R10">
        <v>53</v>
      </c>
      <c r="S10">
        <v>9</v>
      </c>
      <c r="T10">
        <v>44</v>
      </c>
      <c r="U10" s="3" t="s">
        <v>69</v>
      </c>
      <c r="V10" s="3" t="s">
        <v>70</v>
      </c>
      <c r="W10">
        <v>120</v>
      </c>
      <c r="X10">
        <v>5280</v>
      </c>
      <c r="Y10">
        <v>32</v>
      </c>
      <c r="Z10" s="4">
        <v>0.53333333333333299</v>
      </c>
      <c r="AA10" s="4">
        <v>1.2421875</v>
      </c>
      <c r="AB10" s="4">
        <v>0.169811320754717</v>
      </c>
      <c r="AC10" s="4">
        <v>0.1125</v>
      </c>
      <c r="AD10" s="6">
        <v>4480</v>
      </c>
      <c r="AE10" s="5">
        <v>1080</v>
      </c>
      <c r="AF10">
        <v>9760</v>
      </c>
      <c r="AG10"/>
      <c r="AH10"/>
      <c r="AI10"/>
      <c r="AJ10"/>
    </row>
    <row r="11" spans="1:36" x14ac:dyDescent="0.25">
      <c r="A11">
        <v>10</v>
      </c>
      <c r="B11" s="1">
        <v>46023</v>
      </c>
      <c r="C11" s="1">
        <v>46023</v>
      </c>
      <c r="D11" s="2">
        <v>0.66666666666666663</v>
      </c>
      <c r="E11" s="2">
        <v>0.70833333333333337</v>
      </c>
      <c r="F11" s="3" t="s">
        <v>56</v>
      </c>
      <c r="G11" s="3" t="s">
        <v>71</v>
      </c>
      <c r="H11" s="3" t="s">
        <v>58</v>
      </c>
      <c r="I11" s="3" t="s">
        <v>30</v>
      </c>
      <c r="J11" s="3" t="s">
        <v>31</v>
      </c>
      <c r="K11" s="3" t="s">
        <v>32</v>
      </c>
      <c r="L11" s="3" t="s">
        <v>33</v>
      </c>
      <c r="M11">
        <v>100</v>
      </c>
      <c r="N11">
        <v>36</v>
      </c>
      <c r="O11">
        <v>60</v>
      </c>
      <c r="P11">
        <v>6</v>
      </c>
      <c r="Q11" s="3" t="s">
        <v>34</v>
      </c>
      <c r="R11">
        <v>95</v>
      </c>
      <c r="S11">
        <v>92</v>
      </c>
      <c r="T11">
        <v>3</v>
      </c>
      <c r="U11" s="3" t="s">
        <v>72</v>
      </c>
      <c r="V11" s="3" t="s">
        <v>73</v>
      </c>
      <c r="W11">
        <v>50</v>
      </c>
      <c r="X11">
        <v>150</v>
      </c>
      <c r="Y11">
        <v>54</v>
      </c>
      <c r="Z11" s="4">
        <v>0.9</v>
      </c>
      <c r="AA11" s="4">
        <v>1.05555555555556</v>
      </c>
      <c r="AB11" s="4">
        <v>0.96842105263157896</v>
      </c>
      <c r="AC11" s="4">
        <v>0.92000000000000404</v>
      </c>
      <c r="AD11" s="6">
        <v>500</v>
      </c>
      <c r="AE11" s="5">
        <v>4600</v>
      </c>
      <c r="AF11">
        <v>650</v>
      </c>
      <c r="AG11"/>
      <c r="AH11"/>
      <c r="AI11"/>
      <c r="AJ11"/>
    </row>
    <row r="12" spans="1:36" x14ac:dyDescent="0.25">
      <c r="A12">
        <v>11</v>
      </c>
      <c r="B12" s="1">
        <v>46023</v>
      </c>
      <c r="C12" s="1">
        <v>46023</v>
      </c>
      <c r="D12" s="2">
        <v>0.70833333333333337</v>
      </c>
      <c r="E12" s="2">
        <v>0.75</v>
      </c>
      <c r="F12" s="3" t="s">
        <v>56</v>
      </c>
      <c r="G12" s="3" t="s">
        <v>74</v>
      </c>
      <c r="H12" s="3" t="s">
        <v>29</v>
      </c>
      <c r="I12" s="3" t="s">
        <v>30</v>
      </c>
      <c r="J12" s="3" t="s">
        <v>31</v>
      </c>
      <c r="K12" s="3" t="s">
        <v>32</v>
      </c>
      <c r="L12" s="3" t="s">
        <v>33</v>
      </c>
      <c r="M12">
        <v>100</v>
      </c>
      <c r="N12">
        <v>36</v>
      </c>
      <c r="O12">
        <v>60</v>
      </c>
      <c r="P12">
        <v>0</v>
      </c>
      <c r="Q12" s="3" t="s">
        <v>39</v>
      </c>
      <c r="R12">
        <v>93</v>
      </c>
      <c r="S12">
        <v>92</v>
      </c>
      <c r="T12">
        <v>1</v>
      </c>
      <c r="U12" s="3" t="s">
        <v>75</v>
      </c>
      <c r="V12" s="3" t="s">
        <v>76</v>
      </c>
      <c r="W12">
        <v>50</v>
      </c>
      <c r="X12">
        <v>50</v>
      </c>
      <c r="Y12">
        <v>60</v>
      </c>
      <c r="Z12" s="4">
        <v>1</v>
      </c>
      <c r="AA12" s="4">
        <v>0.93</v>
      </c>
      <c r="AB12" s="4">
        <v>0.989247311827957</v>
      </c>
      <c r="AC12" s="4">
        <v>0.92</v>
      </c>
      <c r="AD12" s="6">
        <v>0</v>
      </c>
      <c r="AE12" s="5">
        <v>4600</v>
      </c>
      <c r="AF12">
        <v>50</v>
      </c>
      <c r="AG12"/>
      <c r="AH12"/>
      <c r="AI12"/>
      <c r="AJ12"/>
    </row>
    <row r="13" spans="1:36" x14ac:dyDescent="0.25">
      <c r="A13">
        <v>12</v>
      </c>
      <c r="B13" s="1">
        <v>46023</v>
      </c>
      <c r="C13" s="1">
        <v>46023</v>
      </c>
      <c r="D13" s="2">
        <v>0.70833333333333337</v>
      </c>
      <c r="E13" s="2">
        <v>0.75</v>
      </c>
      <c r="F13" s="3" t="s">
        <v>56</v>
      </c>
      <c r="G13" s="3" t="s">
        <v>77</v>
      </c>
      <c r="H13" s="3" t="s">
        <v>29</v>
      </c>
      <c r="I13" s="3" t="s">
        <v>30</v>
      </c>
      <c r="J13" s="3" t="s">
        <v>31</v>
      </c>
      <c r="K13" s="3" t="s">
        <v>32</v>
      </c>
      <c r="L13" s="3" t="s">
        <v>33</v>
      </c>
      <c r="M13">
        <v>100</v>
      </c>
      <c r="N13">
        <v>36</v>
      </c>
      <c r="O13">
        <v>60</v>
      </c>
      <c r="P13">
        <v>4</v>
      </c>
      <c r="Q13" s="3" t="s">
        <v>78</v>
      </c>
      <c r="R13">
        <v>86</v>
      </c>
      <c r="S13">
        <v>86</v>
      </c>
      <c r="T13">
        <v>0</v>
      </c>
      <c r="U13" s="3" t="s">
        <v>75</v>
      </c>
      <c r="V13" s="3" t="s">
        <v>76</v>
      </c>
      <c r="W13">
        <v>50</v>
      </c>
      <c r="X13">
        <v>0</v>
      </c>
      <c r="Y13">
        <v>56</v>
      </c>
      <c r="Z13" s="4">
        <v>0.93333333333333302</v>
      </c>
      <c r="AA13" s="4">
        <v>0.92142857142857204</v>
      </c>
      <c r="AB13" s="4">
        <v>1</v>
      </c>
      <c r="AC13" s="4">
        <v>0.86</v>
      </c>
      <c r="AD13" s="6">
        <v>333.33330000000001</v>
      </c>
      <c r="AE13" s="5">
        <v>4300</v>
      </c>
      <c r="AF13">
        <v>333.33330000000001</v>
      </c>
      <c r="AG13"/>
      <c r="AH13"/>
      <c r="AI13"/>
      <c r="AJ13"/>
    </row>
    <row r="14" spans="1:36" x14ac:dyDescent="0.25">
      <c r="A14">
        <v>13</v>
      </c>
      <c r="B14" s="1">
        <v>46024</v>
      </c>
      <c r="C14" s="1">
        <v>46024</v>
      </c>
      <c r="D14" s="2">
        <v>0.29166666666666669</v>
      </c>
      <c r="E14" s="2">
        <v>0.33333333333333331</v>
      </c>
      <c r="F14" s="3" t="s">
        <v>27</v>
      </c>
      <c r="G14" s="3" t="s">
        <v>79</v>
      </c>
      <c r="H14" s="3" t="s">
        <v>80</v>
      </c>
      <c r="I14" s="3" t="s">
        <v>45</v>
      </c>
      <c r="J14" s="3" t="s">
        <v>46</v>
      </c>
      <c r="K14" s="3" t="s">
        <v>47</v>
      </c>
      <c r="L14" s="3" t="s">
        <v>33</v>
      </c>
      <c r="M14">
        <v>120</v>
      </c>
      <c r="N14">
        <v>30</v>
      </c>
      <c r="O14">
        <v>60</v>
      </c>
      <c r="P14">
        <v>0</v>
      </c>
      <c r="Q14" s="3" t="s">
        <v>39</v>
      </c>
      <c r="R14">
        <v>122</v>
      </c>
      <c r="S14">
        <v>118</v>
      </c>
      <c r="T14">
        <v>4</v>
      </c>
      <c r="U14" s="3" t="s">
        <v>35</v>
      </c>
      <c r="V14" s="3" t="s">
        <v>36</v>
      </c>
      <c r="W14">
        <v>80</v>
      </c>
      <c r="X14">
        <v>320</v>
      </c>
      <c r="Y14">
        <v>60</v>
      </c>
      <c r="Z14" s="4">
        <v>1</v>
      </c>
      <c r="AA14" s="4">
        <v>1.0166666666666699</v>
      </c>
      <c r="AB14" s="4">
        <v>0.96721311475409799</v>
      </c>
      <c r="AC14" s="4">
        <v>0.98333333333333595</v>
      </c>
      <c r="AD14" s="6">
        <v>0</v>
      </c>
      <c r="AE14" s="5">
        <v>9440</v>
      </c>
      <c r="AF14">
        <v>320</v>
      </c>
      <c r="AG14"/>
      <c r="AH14"/>
      <c r="AI14"/>
      <c r="AJ14"/>
    </row>
    <row r="15" spans="1:36" x14ac:dyDescent="0.25">
      <c r="A15">
        <v>14</v>
      </c>
      <c r="B15" s="1">
        <v>46024</v>
      </c>
      <c r="C15" s="1">
        <v>46024</v>
      </c>
      <c r="D15" s="2">
        <v>0.33333333333333331</v>
      </c>
      <c r="E15" s="2">
        <v>0.375</v>
      </c>
      <c r="F15" s="3" t="s">
        <v>27</v>
      </c>
      <c r="G15" s="3" t="s">
        <v>81</v>
      </c>
      <c r="H15" s="3" t="s">
        <v>80</v>
      </c>
      <c r="I15" s="3" t="s">
        <v>45</v>
      </c>
      <c r="J15" s="3" t="s">
        <v>46</v>
      </c>
      <c r="K15" s="3" t="s">
        <v>47</v>
      </c>
      <c r="L15" s="3" t="s">
        <v>33</v>
      </c>
      <c r="M15">
        <v>120</v>
      </c>
      <c r="N15">
        <v>30</v>
      </c>
      <c r="O15">
        <v>60</v>
      </c>
      <c r="P15">
        <v>6</v>
      </c>
      <c r="Q15" s="3" t="s">
        <v>82</v>
      </c>
      <c r="R15">
        <v>0</v>
      </c>
      <c r="S15">
        <v>0</v>
      </c>
      <c r="T15">
        <v>0</v>
      </c>
      <c r="U15" s="3" t="s">
        <v>42</v>
      </c>
      <c r="V15" s="3" t="s">
        <v>43</v>
      </c>
      <c r="W15">
        <v>80</v>
      </c>
      <c r="X15">
        <v>0</v>
      </c>
      <c r="Y15">
        <v>54</v>
      </c>
      <c r="Z15" s="4">
        <v>0.9</v>
      </c>
      <c r="AA15" s="4">
        <v>0</v>
      </c>
      <c r="AB15" s="4">
        <v>0</v>
      </c>
      <c r="AC15" s="4">
        <v>0</v>
      </c>
      <c r="AD15" s="6">
        <v>960</v>
      </c>
      <c r="AE15" s="5">
        <v>0</v>
      </c>
      <c r="AF15">
        <v>960</v>
      </c>
      <c r="AG15"/>
      <c r="AH15"/>
      <c r="AI15"/>
      <c r="AJ15"/>
    </row>
    <row r="16" spans="1:36" x14ac:dyDescent="0.25">
      <c r="A16">
        <v>15</v>
      </c>
      <c r="B16" s="1">
        <v>46024</v>
      </c>
      <c r="C16" s="1">
        <v>46024</v>
      </c>
      <c r="D16" s="2">
        <v>0.375</v>
      </c>
      <c r="E16" s="2">
        <v>0.41666666666666669</v>
      </c>
      <c r="F16" s="3" t="s">
        <v>27</v>
      </c>
      <c r="G16" s="3" t="s">
        <v>83</v>
      </c>
      <c r="H16" s="3" t="s">
        <v>84</v>
      </c>
      <c r="I16" s="3" t="s">
        <v>45</v>
      </c>
      <c r="J16" s="3" t="s">
        <v>46</v>
      </c>
      <c r="K16" s="3" t="s">
        <v>47</v>
      </c>
      <c r="L16" s="3" t="s">
        <v>33</v>
      </c>
      <c r="M16">
        <v>120</v>
      </c>
      <c r="N16">
        <v>30</v>
      </c>
      <c r="O16">
        <v>60</v>
      </c>
      <c r="P16">
        <v>3</v>
      </c>
      <c r="Q16" s="3" t="s">
        <v>85</v>
      </c>
      <c r="R16">
        <v>121</v>
      </c>
      <c r="S16">
        <v>119</v>
      </c>
      <c r="T16">
        <v>2</v>
      </c>
      <c r="U16" s="3" t="s">
        <v>42</v>
      </c>
      <c r="V16" s="3" t="s">
        <v>43</v>
      </c>
      <c r="W16">
        <v>80</v>
      </c>
      <c r="X16">
        <v>160</v>
      </c>
      <c r="Y16">
        <v>57</v>
      </c>
      <c r="Z16" s="4">
        <v>0.95</v>
      </c>
      <c r="AA16" s="4">
        <v>1.06140350877193</v>
      </c>
      <c r="AB16" s="4">
        <v>0.98347107438016501</v>
      </c>
      <c r="AC16" s="4">
        <v>0.99166666666666603</v>
      </c>
      <c r="AD16" s="6">
        <v>480</v>
      </c>
      <c r="AE16" s="5">
        <v>9520</v>
      </c>
      <c r="AF16">
        <v>640</v>
      </c>
      <c r="AG16"/>
      <c r="AH16"/>
      <c r="AI16"/>
      <c r="AJ16"/>
    </row>
    <row r="17" spans="1:36" x14ac:dyDescent="0.25">
      <c r="A17">
        <v>16</v>
      </c>
      <c r="B17" s="1">
        <v>46024</v>
      </c>
      <c r="C17" s="1">
        <v>46024</v>
      </c>
      <c r="D17" s="2">
        <v>0.41666666666666669</v>
      </c>
      <c r="E17" s="2">
        <v>0.45833333333333331</v>
      </c>
      <c r="F17" s="3" t="s">
        <v>27</v>
      </c>
      <c r="G17" s="3" t="s">
        <v>86</v>
      </c>
      <c r="H17" s="3" t="s">
        <v>80</v>
      </c>
      <c r="I17" s="3" t="s">
        <v>59</v>
      </c>
      <c r="J17" s="3" t="s">
        <v>60</v>
      </c>
      <c r="K17" s="3" t="s">
        <v>61</v>
      </c>
      <c r="L17" s="3" t="s">
        <v>62</v>
      </c>
      <c r="M17">
        <v>80</v>
      </c>
      <c r="N17">
        <v>45</v>
      </c>
      <c r="O17">
        <v>60</v>
      </c>
      <c r="P17">
        <v>0</v>
      </c>
      <c r="Q17" s="3" t="s">
        <v>39</v>
      </c>
      <c r="R17">
        <v>86</v>
      </c>
      <c r="S17">
        <v>84</v>
      </c>
      <c r="T17">
        <v>2</v>
      </c>
      <c r="U17" s="3" t="s">
        <v>49</v>
      </c>
      <c r="V17" s="3" t="s">
        <v>50</v>
      </c>
      <c r="W17">
        <v>120</v>
      </c>
      <c r="X17">
        <v>240</v>
      </c>
      <c r="Y17">
        <v>60</v>
      </c>
      <c r="Z17" s="4">
        <v>1</v>
      </c>
      <c r="AA17" s="4">
        <v>1.075</v>
      </c>
      <c r="AB17" s="4">
        <v>0.97674418604651203</v>
      </c>
      <c r="AC17" s="4">
        <v>1.05</v>
      </c>
      <c r="AD17" s="6">
        <v>0</v>
      </c>
      <c r="AE17" s="5">
        <v>10080</v>
      </c>
      <c r="AF17">
        <v>240</v>
      </c>
      <c r="AG17"/>
      <c r="AH17"/>
      <c r="AI17"/>
      <c r="AJ17"/>
    </row>
    <row r="18" spans="1:36" x14ac:dyDescent="0.25">
      <c r="A18">
        <v>17</v>
      </c>
      <c r="B18" s="1">
        <v>46024</v>
      </c>
      <c r="C18" s="1">
        <v>46024</v>
      </c>
      <c r="D18" s="2">
        <v>0.45833333333333331</v>
      </c>
      <c r="E18" s="2">
        <v>0.5</v>
      </c>
      <c r="F18" s="3" t="s">
        <v>27</v>
      </c>
      <c r="G18" s="3" t="s">
        <v>87</v>
      </c>
      <c r="H18" s="3" t="s">
        <v>58</v>
      </c>
      <c r="I18" s="3" t="s">
        <v>59</v>
      </c>
      <c r="J18" s="3" t="s">
        <v>60</v>
      </c>
      <c r="K18" s="3" t="s">
        <v>61</v>
      </c>
      <c r="L18" s="3" t="s">
        <v>62</v>
      </c>
      <c r="M18">
        <v>80</v>
      </c>
      <c r="N18">
        <v>45</v>
      </c>
      <c r="O18">
        <v>60</v>
      </c>
      <c r="P18">
        <v>24</v>
      </c>
      <c r="Q18" s="3" t="s">
        <v>88</v>
      </c>
      <c r="R18">
        <v>60</v>
      </c>
      <c r="S18">
        <v>60</v>
      </c>
      <c r="T18">
        <v>0</v>
      </c>
      <c r="U18" s="3" t="s">
        <v>54</v>
      </c>
      <c r="V18" s="3" t="s">
        <v>55</v>
      </c>
      <c r="W18">
        <v>120</v>
      </c>
      <c r="X18">
        <v>0</v>
      </c>
      <c r="Y18">
        <v>36</v>
      </c>
      <c r="Z18" s="4">
        <v>0.6</v>
      </c>
      <c r="AA18" s="4">
        <v>1.25</v>
      </c>
      <c r="AB18" s="4">
        <v>1</v>
      </c>
      <c r="AC18" s="4">
        <v>0.75</v>
      </c>
      <c r="AD18" s="6">
        <v>3840</v>
      </c>
      <c r="AE18" s="5">
        <v>7200</v>
      </c>
      <c r="AF18">
        <v>3840</v>
      </c>
      <c r="AG18"/>
      <c r="AH18"/>
      <c r="AI18"/>
      <c r="AJ18"/>
    </row>
    <row r="19" spans="1:36" x14ac:dyDescent="0.25">
      <c r="A19">
        <v>18</v>
      </c>
      <c r="B19" s="1">
        <v>46024</v>
      </c>
      <c r="C19" s="1">
        <v>46024</v>
      </c>
      <c r="D19" s="2">
        <v>0.5</v>
      </c>
      <c r="E19" s="2">
        <v>0.54166666666666663</v>
      </c>
      <c r="F19" s="3" t="s">
        <v>56</v>
      </c>
      <c r="G19" s="3" t="s">
        <v>89</v>
      </c>
      <c r="H19" s="3" t="s">
        <v>29</v>
      </c>
      <c r="I19" s="3" t="s">
        <v>30</v>
      </c>
      <c r="J19" s="3" t="s">
        <v>31</v>
      </c>
      <c r="K19" s="3" t="s">
        <v>32</v>
      </c>
      <c r="L19" s="3" t="s">
        <v>33</v>
      </c>
      <c r="M19">
        <v>100</v>
      </c>
      <c r="N19">
        <v>36</v>
      </c>
      <c r="O19">
        <v>60</v>
      </c>
      <c r="P19">
        <v>0</v>
      </c>
      <c r="Q19" s="3" t="s">
        <v>39</v>
      </c>
      <c r="R19">
        <v>107</v>
      </c>
      <c r="S19">
        <v>104</v>
      </c>
      <c r="T19">
        <v>3</v>
      </c>
      <c r="U19" s="3" t="s">
        <v>63</v>
      </c>
      <c r="V19" s="3" t="s">
        <v>64</v>
      </c>
      <c r="W19">
        <v>50</v>
      </c>
      <c r="X19">
        <v>150</v>
      </c>
      <c r="Y19">
        <v>60</v>
      </c>
      <c r="Z19" s="4">
        <v>1</v>
      </c>
      <c r="AA19" s="4">
        <v>1.07</v>
      </c>
      <c r="AB19" s="4">
        <v>0.97196261682243001</v>
      </c>
      <c r="AC19" s="4">
        <v>1.04</v>
      </c>
      <c r="AD19" s="6">
        <v>0</v>
      </c>
      <c r="AE19" s="5">
        <v>5200</v>
      </c>
      <c r="AF19">
        <v>150</v>
      </c>
      <c r="AG19"/>
      <c r="AH19"/>
      <c r="AI19"/>
      <c r="AJ19"/>
    </row>
    <row r="20" spans="1:36" x14ac:dyDescent="0.25">
      <c r="A20">
        <v>19</v>
      </c>
      <c r="B20" s="1">
        <v>46024</v>
      </c>
      <c r="C20" s="1">
        <v>46024</v>
      </c>
      <c r="D20" s="2">
        <v>0.54166666666666663</v>
      </c>
      <c r="E20" s="2">
        <v>0.58333333333333337</v>
      </c>
      <c r="F20" s="3" t="s">
        <v>56</v>
      </c>
      <c r="G20" s="3" t="s">
        <v>90</v>
      </c>
      <c r="H20" s="3" t="s">
        <v>91</v>
      </c>
      <c r="I20" s="3" t="s">
        <v>30</v>
      </c>
      <c r="J20" s="3" t="s">
        <v>31</v>
      </c>
      <c r="K20" s="3" t="s">
        <v>32</v>
      </c>
      <c r="L20" s="3" t="s">
        <v>33</v>
      </c>
      <c r="M20">
        <v>100</v>
      </c>
      <c r="N20">
        <v>36</v>
      </c>
      <c r="O20">
        <v>60</v>
      </c>
      <c r="P20">
        <v>6</v>
      </c>
      <c r="Q20" s="3" t="s">
        <v>92</v>
      </c>
      <c r="R20">
        <v>94</v>
      </c>
      <c r="S20">
        <v>94</v>
      </c>
      <c r="T20">
        <v>0</v>
      </c>
      <c r="U20" s="3" t="s">
        <v>69</v>
      </c>
      <c r="V20" s="3" t="s">
        <v>70</v>
      </c>
      <c r="W20">
        <v>50</v>
      </c>
      <c r="X20">
        <v>0</v>
      </c>
      <c r="Y20">
        <v>54</v>
      </c>
      <c r="Z20" s="4">
        <v>0.9</v>
      </c>
      <c r="AA20" s="4">
        <v>1.0444444444444401</v>
      </c>
      <c r="AB20" s="4">
        <v>1</v>
      </c>
      <c r="AC20" s="4">
        <v>0.93999999999999595</v>
      </c>
      <c r="AD20" s="6">
        <v>500</v>
      </c>
      <c r="AE20" s="5">
        <v>4700</v>
      </c>
      <c r="AF20">
        <v>500</v>
      </c>
      <c r="AG20"/>
      <c r="AH20"/>
      <c r="AI20"/>
      <c r="AJ20"/>
    </row>
    <row r="21" spans="1:36" x14ac:dyDescent="0.25">
      <c r="A21">
        <v>20</v>
      </c>
      <c r="B21" s="1">
        <v>46024</v>
      </c>
      <c r="C21" s="1">
        <v>46024</v>
      </c>
      <c r="D21" s="2">
        <v>0.58333333333333337</v>
      </c>
      <c r="E21" s="2">
        <v>0.625</v>
      </c>
      <c r="F21" s="3" t="s">
        <v>56</v>
      </c>
      <c r="G21" s="3" t="s">
        <v>93</v>
      </c>
      <c r="H21" s="3" t="s">
        <v>80</v>
      </c>
      <c r="I21" s="3" t="s">
        <v>45</v>
      </c>
      <c r="J21" s="3" t="s">
        <v>46</v>
      </c>
      <c r="K21" s="3" t="s">
        <v>47</v>
      </c>
      <c r="L21" s="3" t="s">
        <v>33</v>
      </c>
      <c r="M21">
        <v>120</v>
      </c>
      <c r="N21">
        <v>30</v>
      </c>
      <c r="O21">
        <v>60</v>
      </c>
      <c r="P21">
        <v>0</v>
      </c>
      <c r="Q21" s="3" t="s">
        <v>39</v>
      </c>
      <c r="R21">
        <v>118</v>
      </c>
      <c r="S21">
        <v>113</v>
      </c>
      <c r="T21">
        <v>5</v>
      </c>
      <c r="U21" s="3" t="s">
        <v>72</v>
      </c>
      <c r="V21" s="3" t="s">
        <v>73</v>
      </c>
      <c r="W21">
        <v>80</v>
      </c>
      <c r="X21">
        <v>400</v>
      </c>
      <c r="Y21">
        <v>60</v>
      </c>
      <c r="Z21" s="4">
        <v>1</v>
      </c>
      <c r="AA21" s="4">
        <v>0.98333333333333295</v>
      </c>
      <c r="AB21" s="4">
        <v>0.95762711864406802</v>
      </c>
      <c r="AC21" s="4">
        <v>0.94166666666666599</v>
      </c>
      <c r="AD21" s="6">
        <v>0</v>
      </c>
      <c r="AE21" s="5">
        <v>9040</v>
      </c>
      <c r="AF21">
        <v>400</v>
      </c>
      <c r="AG21"/>
      <c r="AH21"/>
      <c r="AI21"/>
      <c r="AJ21"/>
    </row>
    <row r="22" spans="1:36" x14ac:dyDescent="0.25">
      <c r="A22">
        <v>21</v>
      </c>
      <c r="B22" s="1">
        <v>46024</v>
      </c>
      <c r="C22" s="1">
        <v>46024</v>
      </c>
      <c r="D22" s="2">
        <v>0.625</v>
      </c>
      <c r="E22" s="2">
        <v>0.66666666666666663</v>
      </c>
      <c r="F22" s="3" t="s">
        <v>56</v>
      </c>
      <c r="G22" s="3" t="s">
        <v>94</v>
      </c>
      <c r="H22" s="3" t="s">
        <v>67</v>
      </c>
      <c r="I22" s="3" t="s">
        <v>45</v>
      </c>
      <c r="J22" s="3" t="s">
        <v>46</v>
      </c>
      <c r="K22" s="3" t="s">
        <v>47</v>
      </c>
      <c r="L22" s="3" t="s">
        <v>33</v>
      </c>
      <c r="M22">
        <v>120</v>
      </c>
      <c r="N22">
        <v>30</v>
      </c>
      <c r="O22">
        <v>60</v>
      </c>
      <c r="P22">
        <v>14</v>
      </c>
      <c r="Q22" s="3" t="s">
        <v>95</v>
      </c>
      <c r="R22">
        <v>79</v>
      </c>
      <c r="S22">
        <v>61</v>
      </c>
      <c r="T22">
        <v>18</v>
      </c>
      <c r="U22" s="3" t="s">
        <v>63</v>
      </c>
      <c r="V22" s="3" t="s">
        <v>64</v>
      </c>
      <c r="W22">
        <v>80</v>
      </c>
      <c r="X22">
        <v>1440</v>
      </c>
      <c r="Y22">
        <v>46</v>
      </c>
      <c r="Z22" s="4">
        <v>0.76666666666666705</v>
      </c>
      <c r="AA22" s="4">
        <v>0.85869565217391297</v>
      </c>
      <c r="AB22" s="4">
        <v>0.772151898734177</v>
      </c>
      <c r="AC22" s="4">
        <v>0.50833333333333297</v>
      </c>
      <c r="AD22" s="6">
        <v>2240</v>
      </c>
      <c r="AE22" s="5">
        <v>4880</v>
      </c>
      <c r="AF22">
        <v>3680</v>
      </c>
      <c r="AG22"/>
      <c r="AH22"/>
      <c r="AI22"/>
      <c r="AJ22"/>
    </row>
    <row r="23" spans="1:36" x14ac:dyDescent="0.25">
      <c r="A23">
        <v>22</v>
      </c>
      <c r="B23" s="1">
        <v>46024</v>
      </c>
      <c r="C23" s="1">
        <v>46024</v>
      </c>
      <c r="D23" s="2">
        <v>0.70833333333333337</v>
      </c>
      <c r="E23" s="2">
        <v>0.75</v>
      </c>
      <c r="F23" s="3" t="s">
        <v>96</v>
      </c>
      <c r="G23" s="3" t="s">
        <v>97</v>
      </c>
      <c r="H23" s="3" t="s">
        <v>98</v>
      </c>
      <c r="I23" s="3" t="s">
        <v>59</v>
      </c>
      <c r="J23" s="3" t="s">
        <v>60</v>
      </c>
      <c r="K23" s="3" t="s">
        <v>61</v>
      </c>
      <c r="L23" s="3" t="s">
        <v>62</v>
      </c>
      <c r="M23">
        <v>80</v>
      </c>
      <c r="N23">
        <v>45</v>
      </c>
      <c r="O23">
        <v>60</v>
      </c>
      <c r="P23">
        <v>0</v>
      </c>
      <c r="Q23" s="3" t="s">
        <v>39</v>
      </c>
      <c r="R23">
        <v>86</v>
      </c>
      <c r="S23">
        <v>86</v>
      </c>
      <c r="T23">
        <v>0</v>
      </c>
      <c r="U23" s="3" t="s">
        <v>99</v>
      </c>
      <c r="V23" s="3" t="s">
        <v>100</v>
      </c>
      <c r="W23">
        <v>120</v>
      </c>
      <c r="X23">
        <v>0</v>
      </c>
      <c r="Y23">
        <v>60</v>
      </c>
      <c r="Z23" s="4">
        <v>1</v>
      </c>
      <c r="AA23" s="4">
        <v>1.075</v>
      </c>
      <c r="AB23" s="4">
        <v>1</v>
      </c>
      <c r="AC23" s="4">
        <v>1.075</v>
      </c>
      <c r="AD23" s="6">
        <v>0</v>
      </c>
      <c r="AE23" s="5">
        <v>10320</v>
      </c>
      <c r="AF23">
        <v>0</v>
      </c>
      <c r="AG23"/>
      <c r="AH23"/>
      <c r="AI23"/>
      <c r="AJ23"/>
    </row>
    <row r="24" spans="1:36" x14ac:dyDescent="0.25">
      <c r="A24">
        <v>23</v>
      </c>
      <c r="B24" s="1">
        <v>46024</v>
      </c>
      <c r="C24" s="1">
        <v>46024</v>
      </c>
      <c r="D24" s="2">
        <v>0.75</v>
      </c>
      <c r="E24" s="2">
        <v>0.79166666666666663</v>
      </c>
      <c r="F24" s="3" t="s">
        <v>96</v>
      </c>
      <c r="G24" s="3" t="s">
        <v>101</v>
      </c>
      <c r="H24" s="3" t="s">
        <v>67</v>
      </c>
      <c r="I24" s="3" t="s">
        <v>59</v>
      </c>
      <c r="J24" s="3" t="s">
        <v>60</v>
      </c>
      <c r="K24" s="3" t="s">
        <v>61</v>
      </c>
      <c r="L24" s="3" t="s">
        <v>62</v>
      </c>
      <c r="M24">
        <v>80</v>
      </c>
      <c r="N24">
        <v>45</v>
      </c>
      <c r="O24">
        <v>60</v>
      </c>
      <c r="P24">
        <v>22</v>
      </c>
      <c r="Q24" s="3" t="s">
        <v>102</v>
      </c>
      <c r="R24">
        <v>56</v>
      </c>
      <c r="S24">
        <v>49</v>
      </c>
      <c r="T24">
        <v>7</v>
      </c>
      <c r="U24" s="3" t="s">
        <v>99</v>
      </c>
      <c r="V24" s="3" t="s">
        <v>100</v>
      </c>
      <c r="W24">
        <v>120</v>
      </c>
      <c r="X24">
        <v>840</v>
      </c>
      <c r="Y24">
        <v>38</v>
      </c>
      <c r="Z24" s="4">
        <v>0.63333333333333297</v>
      </c>
      <c r="AA24" s="4">
        <v>1.1052631578947401</v>
      </c>
      <c r="AB24" s="4">
        <v>0.875</v>
      </c>
      <c r="AC24" s="4">
        <v>0.61250000000000104</v>
      </c>
      <c r="AD24" s="6">
        <v>3520</v>
      </c>
      <c r="AE24" s="5">
        <v>5880</v>
      </c>
      <c r="AF24">
        <v>4360</v>
      </c>
      <c r="AG24"/>
      <c r="AH24"/>
      <c r="AI24"/>
      <c r="AJ24"/>
    </row>
    <row r="25" spans="1:36" x14ac:dyDescent="0.25">
      <c r="A25">
        <v>24</v>
      </c>
      <c r="B25" s="1">
        <v>46025</v>
      </c>
      <c r="C25" s="1">
        <v>46025</v>
      </c>
      <c r="D25" s="2">
        <v>0.29166666666666669</v>
      </c>
      <c r="E25" s="2">
        <v>0.33333333333333331</v>
      </c>
      <c r="F25" s="3" t="s">
        <v>27</v>
      </c>
      <c r="G25" s="3" t="s">
        <v>103</v>
      </c>
      <c r="H25" s="3" t="s">
        <v>38</v>
      </c>
      <c r="I25" s="3" t="s">
        <v>30</v>
      </c>
      <c r="J25" s="3" t="s">
        <v>31</v>
      </c>
      <c r="K25" s="3" t="s">
        <v>32</v>
      </c>
      <c r="L25" s="3" t="s">
        <v>33</v>
      </c>
      <c r="M25">
        <v>100</v>
      </c>
      <c r="N25">
        <v>36</v>
      </c>
      <c r="O25">
        <v>60</v>
      </c>
      <c r="P25">
        <v>5</v>
      </c>
      <c r="Q25" s="3" t="s">
        <v>104</v>
      </c>
      <c r="R25">
        <v>97</v>
      </c>
      <c r="S25">
        <v>94</v>
      </c>
      <c r="T25">
        <v>3</v>
      </c>
      <c r="U25" s="3" t="s">
        <v>35</v>
      </c>
      <c r="V25" s="3" t="s">
        <v>36</v>
      </c>
      <c r="W25">
        <v>50</v>
      </c>
      <c r="X25">
        <v>150</v>
      </c>
      <c r="Y25">
        <v>55</v>
      </c>
      <c r="Z25" s="4">
        <v>0.91666666666666596</v>
      </c>
      <c r="AA25" s="4">
        <v>1.0581818181818201</v>
      </c>
      <c r="AB25" s="4">
        <v>0.96907216494845405</v>
      </c>
      <c r="AC25" s="4">
        <v>0.94000000000000095</v>
      </c>
      <c r="AD25" s="6">
        <v>416.66669999999999</v>
      </c>
      <c r="AE25" s="5">
        <v>4700</v>
      </c>
      <c r="AF25">
        <v>566.66669999999999</v>
      </c>
      <c r="AG25"/>
      <c r="AH25"/>
      <c r="AI25"/>
      <c r="AJ25"/>
    </row>
    <row r="26" spans="1:36" x14ac:dyDescent="0.25">
      <c r="A26">
        <v>25</v>
      </c>
      <c r="B26" s="1">
        <v>46025</v>
      </c>
      <c r="C26" s="1">
        <v>46025</v>
      </c>
      <c r="D26" s="2">
        <v>0.33333333333333331</v>
      </c>
      <c r="E26" s="2">
        <v>0.375</v>
      </c>
      <c r="F26" s="3" t="s">
        <v>27</v>
      </c>
      <c r="G26" s="3" t="s">
        <v>105</v>
      </c>
      <c r="H26" s="3" t="s">
        <v>84</v>
      </c>
      <c r="I26" s="3" t="s">
        <v>30</v>
      </c>
      <c r="J26" s="3" t="s">
        <v>31</v>
      </c>
      <c r="K26" s="3" t="s">
        <v>32</v>
      </c>
      <c r="L26" s="3" t="s">
        <v>33</v>
      </c>
      <c r="M26">
        <v>100</v>
      </c>
      <c r="N26">
        <v>36</v>
      </c>
      <c r="O26">
        <v>60</v>
      </c>
      <c r="P26">
        <v>0</v>
      </c>
      <c r="Q26" s="3" t="s">
        <v>39</v>
      </c>
      <c r="R26">
        <v>91</v>
      </c>
      <c r="S26">
        <v>91</v>
      </c>
      <c r="T26">
        <v>0</v>
      </c>
      <c r="U26" s="3" t="s">
        <v>35</v>
      </c>
      <c r="V26" s="3" t="s">
        <v>36</v>
      </c>
      <c r="W26">
        <v>50</v>
      </c>
      <c r="X26">
        <v>0</v>
      </c>
      <c r="Y26">
        <v>60</v>
      </c>
      <c r="Z26" s="4">
        <v>1</v>
      </c>
      <c r="AA26" s="4">
        <v>0.91</v>
      </c>
      <c r="AB26" s="4">
        <v>1</v>
      </c>
      <c r="AC26" s="4">
        <v>0.91</v>
      </c>
      <c r="AD26" s="6">
        <v>0</v>
      </c>
      <c r="AE26" s="5">
        <v>4550</v>
      </c>
      <c r="AF26">
        <v>0</v>
      </c>
      <c r="AG26"/>
      <c r="AH26"/>
      <c r="AI26"/>
      <c r="AJ26"/>
    </row>
    <row r="27" spans="1:36" x14ac:dyDescent="0.25">
      <c r="A27">
        <v>26</v>
      </c>
      <c r="B27" s="1">
        <v>46025</v>
      </c>
      <c r="C27" s="1">
        <v>46025</v>
      </c>
      <c r="D27" s="2">
        <v>0.375</v>
      </c>
      <c r="E27" s="2">
        <v>0.41666666666666669</v>
      </c>
      <c r="F27" s="3" t="s">
        <v>27</v>
      </c>
      <c r="G27" s="3" t="s">
        <v>106</v>
      </c>
      <c r="H27" s="3" t="s">
        <v>58</v>
      </c>
      <c r="I27" s="3" t="s">
        <v>30</v>
      </c>
      <c r="J27" s="3" t="s">
        <v>31</v>
      </c>
      <c r="K27" s="3" t="s">
        <v>32</v>
      </c>
      <c r="L27" s="3" t="s">
        <v>33</v>
      </c>
      <c r="M27">
        <v>100</v>
      </c>
      <c r="N27">
        <v>36</v>
      </c>
      <c r="O27">
        <v>60</v>
      </c>
      <c r="P27">
        <v>6</v>
      </c>
      <c r="Q27" s="3" t="s">
        <v>34</v>
      </c>
      <c r="R27">
        <v>86</v>
      </c>
      <c r="S27">
        <v>83</v>
      </c>
      <c r="T27">
        <v>3</v>
      </c>
      <c r="U27" s="3" t="s">
        <v>35</v>
      </c>
      <c r="V27" s="3" t="s">
        <v>36</v>
      </c>
      <c r="W27">
        <v>50</v>
      </c>
      <c r="X27">
        <v>150</v>
      </c>
      <c r="Y27">
        <v>54</v>
      </c>
      <c r="Z27" s="4">
        <v>0.9</v>
      </c>
      <c r="AA27" s="4">
        <v>0.95555555555555605</v>
      </c>
      <c r="AB27" s="4">
        <v>0.96511627906976805</v>
      </c>
      <c r="AC27" s="4">
        <v>0.83000000000000096</v>
      </c>
      <c r="AD27" s="6">
        <v>500</v>
      </c>
      <c r="AE27" s="5">
        <v>4150</v>
      </c>
      <c r="AF27">
        <v>650</v>
      </c>
      <c r="AG27"/>
      <c r="AH27"/>
      <c r="AI27"/>
      <c r="AJ27"/>
    </row>
    <row r="28" spans="1:36" x14ac:dyDescent="0.25">
      <c r="A28">
        <v>27</v>
      </c>
      <c r="B28" s="1">
        <v>46025</v>
      </c>
      <c r="C28" s="1">
        <v>46025</v>
      </c>
      <c r="D28" s="2">
        <v>0.41666666666666669</v>
      </c>
      <c r="E28" s="2">
        <v>0.45833333333333331</v>
      </c>
      <c r="F28" s="3" t="s">
        <v>27</v>
      </c>
      <c r="G28" s="3" t="s">
        <v>107</v>
      </c>
      <c r="H28" s="3" t="s">
        <v>38</v>
      </c>
      <c r="I28" s="3" t="s">
        <v>30</v>
      </c>
      <c r="J28" s="3" t="s">
        <v>31</v>
      </c>
      <c r="K28" s="3" t="s">
        <v>32</v>
      </c>
      <c r="L28" s="3" t="s">
        <v>33</v>
      </c>
      <c r="M28">
        <v>100</v>
      </c>
      <c r="N28">
        <v>36</v>
      </c>
      <c r="O28">
        <v>60</v>
      </c>
      <c r="P28">
        <v>11</v>
      </c>
      <c r="Q28" s="3" t="s">
        <v>41</v>
      </c>
      <c r="R28">
        <v>71</v>
      </c>
      <c r="S28">
        <v>64</v>
      </c>
      <c r="T28">
        <v>7</v>
      </c>
      <c r="U28" s="3" t="s">
        <v>42</v>
      </c>
      <c r="V28" s="3" t="s">
        <v>43</v>
      </c>
      <c r="W28">
        <v>50</v>
      </c>
      <c r="X28">
        <v>350</v>
      </c>
      <c r="Y28">
        <v>49</v>
      </c>
      <c r="Z28" s="4">
        <v>0.81666666666666698</v>
      </c>
      <c r="AA28" s="4">
        <v>0.86938775510204103</v>
      </c>
      <c r="AB28" s="4">
        <v>0.90140845070422504</v>
      </c>
      <c r="AC28" s="4">
        <v>0.64</v>
      </c>
      <c r="AD28" s="6">
        <v>916.66669999999999</v>
      </c>
      <c r="AE28" s="5">
        <v>3200</v>
      </c>
      <c r="AF28">
        <v>1266.6667</v>
      </c>
      <c r="AG28"/>
      <c r="AH28"/>
      <c r="AI28"/>
      <c r="AJ28"/>
    </row>
    <row r="29" spans="1:36" x14ac:dyDescent="0.25">
      <c r="A29">
        <v>28</v>
      </c>
      <c r="B29" s="1">
        <v>46025</v>
      </c>
      <c r="C29" s="1">
        <v>46025</v>
      </c>
      <c r="D29" s="2">
        <v>0.45833333333333331</v>
      </c>
      <c r="E29" s="2">
        <v>0.5</v>
      </c>
      <c r="F29" s="3" t="s">
        <v>27</v>
      </c>
      <c r="G29" s="3" t="s">
        <v>108</v>
      </c>
      <c r="H29" s="3" t="s">
        <v>38</v>
      </c>
      <c r="I29" s="3" t="s">
        <v>45</v>
      </c>
      <c r="J29" s="3" t="s">
        <v>46</v>
      </c>
      <c r="K29" s="3" t="s">
        <v>47</v>
      </c>
      <c r="L29" s="3" t="s">
        <v>33</v>
      </c>
      <c r="M29">
        <v>120</v>
      </c>
      <c r="N29">
        <v>30</v>
      </c>
      <c r="O29">
        <v>60</v>
      </c>
      <c r="P29">
        <v>1</v>
      </c>
      <c r="Q29" s="3" t="s">
        <v>48</v>
      </c>
      <c r="R29">
        <v>119</v>
      </c>
      <c r="S29">
        <v>116</v>
      </c>
      <c r="T29">
        <v>3</v>
      </c>
      <c r="U29" s="3" t="s">
        <v>49</v>
      </c>
      <c r="V29" s="3" t="s">
        <v>50</v>
      </c>
      <c r="W29">
        <v>80</v>
      </c>
      <c r="X29">
        <v>240</v>
      </c>
      <c r="Y29">
        <v>59</v>
      </c>
      <c r="Z29" s="4">
        <v>0.98333333333333295</v>
      </c>
      <c r="AA29" s="4">
        <v>1.00847457627119</v>
      </c>
      <c r="AB29" s="4">
        <v>0.97478991596638598</v>
      </c>
      <c r="AC29" s="4">
        <v>0.96666666666666901</v>
      </c>
      <c r="AD29" s="6">
        <v>160</v>
      </c>
      <c r="AE29" s="5">
        <v>9280</v>
      </c>
      <c r="AF29">
        <v>400</v>
      </c>
      <c r="AG29"/>
      <c r="AH29"/>
      <c r="AI29"/>
      <c r="AJ29"/>
    </row>
    <row r="30" spans="1:36" x14ac:dyDescent="0.25">
      <c r="A30">
        <v>29</v>
      </c>
      <c r="B30" s="1">
        <v>46025</v>
      </c>
      <c r="C30" s="1">
        <v>46025</v>
      </c>
      <c r="D30" s="2">
        <v>0.5</v>
      </c>
      <c r="E30" s="2">
        <v>0.54166666666666663</v>
      </c>
      <c r="F30" s="3" t="s">
        <v>56</v>
      </c>
      <c r="G30" s="3" t="s">
        <v>109</v>
      </c>
      <c r="H30" s="3" t="s">
        <v>80</v>
      </c>
      <c r="I30" s="3" t="s">
        <v>59</v>
      </c>
      <c r="J30" s="3" t="s">
        <v>60</v>
      </c>
      <c r="K30" s="3" t="s">
        <v>61</v>
      </c>
      <c r="L30" s="3" t="s">
        <v>62</v>
      </c>
      <c r="M30">
        <v>80</v>
      </c>
      <c r="N30">
        <v>45</v>
      </c>
      <c r="O30">
        <v>60</v>
      </c>
      <c r="P30">
        <v>9</v>
      </c>
      <c r="Q30" s="3" t="s">
        <v>34</v>
      </c>
      <c r="R30">
        <v>80</v>
      </c>
      <c r="S30">
        <v>80</v>
      </c>
      <c r="T30">
        <v>0</v>
      </c>
      <c r="U30" s="3" t="s">
        <v>63</v>
      </c>
      <c r="V30" s="3" t="s">
        <v>64</v>
      </c>
      <c r="W30">
        <v>120</v>
      </c>
      <c r="X30">
        <v>0</v>
      </c>
      <c r="Y30">
        <v>51</v>
      </c>
      <c r="Z30" s="4">
        <v>0.85</v>
      </c>
      <c r="AA30" s="4">
        <v>1.1764705882352899</v>
      </c>
      <c r="AB30" s="4">
        <v>1</v>
      </c>
      <c r="AC30" s="4">
        <v>0.999999999999996</v>
      </c>
      <c r="AD30" s="6">
        <v>1440</v>
      </c>
      <c r="AE30" s="5">
        <v>9600</v>
      </c>
      <c r="AF30">
        <v>1440</v>
      </c>
      <c r="AG30"/>
      <c r="AH30"/>
      <c r="AI30"/>
      <c r="AJ30"/>
    </row>
    <row r="31" spans="1:36" x14ac:dyDescent="0.25">
      <c r="A31">
        <v>30</v>
      </c>
      <c r="B31" s="1">
        <v>46025</v>
      </c>
      <c r="C31" s="1">
        <v>46025</v>
      </c>
      <c r="D31" s="2">
        <v>0.54166666666666663</v>
      </c>
      <c r="E31" s="2">
        <v>0.58333333333333337</v>
      </c>
      <c r="F31" s="3" t="s">
        <v>56</v>
      </c>
      <c r="G31" s="3" t="s">
        <v>110</v>
      </c>
      <c r="H31" s="3" t="s">
        <v>67</v>
      </c>
      <c r="I31" s="3" t="s">
        <v>59</v>
      </c>
      <c r="J31" s="3" t="s">
        <v>60</v>
      </c>
      <c r="K31" s="3" t="s">
        <v>61</v>
      </c>
      <c r="L31" s="3" t="s">
        <v>62</v>
      </c>
      <c r="M31">
        <v>80</v>
      </c>
      <c r="N31">
        <v>45</v>
      </c>
      <c r="O31">
        <v>60</v>
      </c>
      <c r="P31">
        <v>30</v>
      </c>
      <c r="Q31" s="3" t="s">
        <v>68</v>
      </c>
      <c r="R31">
        <v>52</v>
      </c>
      <c r="S31">
        <v>5</v>
      </c>
      <c r="T31">
        <v>47</v>
      </c>
      <c r="U31" s="3" t="s">
        <v>69</v>
      </c>
      <c r="V31" s="3" t="s">
        <v>70</v>
      </c>
      <c r="W31">
        <v>120</v>
      </c>
      <c r="X31">
        <v>5640</v>
      </c>
      <c r="Y31">
        <v>30</v>
      </c>
      <c r="Z31" s="4">
        <v>0.5</v>
      </c>
      <c r="AA31" s="4">
        <v>1.3</v>
      </c>
      <c r="AB31" s="4">
        <v>9.6153846153846201E-2</v>
      </c>
      <c r="AC31" s="4">
        <v>6.25E-2</v>
      </c>
      <c r="AD31" s="6">
        <v>4800</v>
      </c>
      <c r="AE31" s="5">
        <v>600</v>
      </c>
      <c r="AF31">
        <v>10440</v>
      </c>
      <c r="AG31"/>
      <c r="AH31"/>
      <c r="AI31"/>
      <c r="AJ31"/>
    </row>
    <row r="32" spans="1:36" x14ac:dyDescent="0.25">
      <c r="A32">
        <v>31</v>
      </c>
      <c r="B32" s="1">
        <v>46025</v>
      </c>
      <c r="C32" s="1">
        <v>46025</v>
      </c>
      <c r="D32" s="2">
        <v>0.58333333333333337</v>
      </c>
      <c r="E32" s="2">
        <v>0.625</v>
      </c>
      <c r="F32" s="3" t="s">
        <v>56</v>
      </c>
      <c r="G32" s="3" t="s">
        <v>111</v>
      </c>
      <c r="H32" s="3" t="s">
        <v>80</v>
      </c>
      <c r="I32" s="3" t="s">
        <v>30</v>
      </c>
      <c r="J32" s="3" t="s">
        <v>31</v>
      </c>
      <c r="K32" s="3" t="s">
        <v>32</v>
      </c>
      <c r="L32" s="3" t="s">
        <v>33</v>
      </c>
      <c r="M32">
        <v>100</v>
      </c>
      <c r="N32">
        <v>36</v>
      </c>
      <c r="O32">
        <v>60</v>
      </c>
      <c r="P32">
        <v>9</v>
      </c>
      <c r="Q32" s="3" t="s">
        <v>34</v>
      </c>
      <c r="R32">
        <v>84</v>
      </c>
      <c r="S32">
        <v>81</v>
      </c>
      <c r="T32">
        <v>3</v>
      </c>
      <c r="U32" s="3" t="s">
        <v>72</v>
      </c>
      <c r="V32" s="3" t="s">
        <v>73</v>
      </c>
      <c r="W32">
        <v>50</v>
      </c>
      <c r="X32">
        <v>150</v>
      </c>
      <c r="Y32">
        <v>51</v>
      </c>
      <c r="Z32" s="4">
        <v>0.85</v>
      </c>
      <c r="AA32" s="4">
        <v>0.98823529411764699</v>
      </c>
      <c r="AB32" s="4">
        <v>0.96428571428571397</v>
      </c>
      <c r="AC32" s="4">
        <v>0.81</v>
      </c>
      <c r="AD32" s="6">
        <v>750</v>
      </c>
      <c r="AE32" s="5">
        <v>4050</v>
      </c>
      <c r="AF32">
        <v>900</v>
      </c>
      <c r="AG32"/>
      <c r="AH32"/>
      <c r="AI32"/>
      <c r="AJ32"/>
    </row>
    <row r="33" spans="1:36" x14ac:dyDescent="0.25">
      <c r="A33">
        <v>32</v>
      </c>
      <c r="B33" s="1">
        <v>46025</v>
      </c>
      <c r="C33" s="1">
        <v>46025</v>
      </c>
      <c r="D33" s="2">
        <v>0.625</v>
      </c>
      <c r="E33" s="2">
        <v>0.66666666666666663</v>
      </c>
      <c r="F33" s="3" t="s">
        <v>56</v>
      </c>
      <c r="G33" s="3" t="s">
        <v>112</v>
      </c>
      <c r="H33" s="3" t="s">
        <v>98</v>
      </c>
      <c r="I33" s="3" t="s">
        <v>30</v>
      </c>
      <c r="J33" s="3" t="s">
        <v>31</v>
      </c>
      <c r="K33" s="3" t="s">
        <v>32</v>
      </c>
      <c r="L33" s="3" t="s">
        <v>33</v>
      </c>
      <c r="M33">
        <v>100</v>
      </c>
      <c r="N33">
        <v>36</v>
      </c>
      <c r="O33">
        <v>60</v>
      </c>
      <c r="P33">
        <v>3</v>
      </c>
      <c r="Q33" s="3" t="s">
        <v>78</v>
      </c>
      <c r="R33">
        <v>91</v>
      </c>
      <c r="S33">
        <v>91</v>
      </c>
      <c r="T33">
        <v>0</v>
      </c>
      <c r="U33" s="3" t="s">
        <v>75</v>
      </c>
      <c r="V33" s="3" t="s">
        <v>76</v>
      </c>
      <c r="W33">
        <v>50</v>
      </c>
      <c r="X33">
        <v>0</v>
      </c>
      <c r="Y33">
        <v>57</v>
      </c>
      <c r="Z33" s="4">
        <v>0.95</v>
      </c>
      <c r="AA33" s="4">
        <v>0.95789473684210502</v>
      </c>
      <c r="AB33" s="4">
        <v>1</v>
      </c>
      <c r="AC33" s="4">
        <v>0.91</v>
      </c>
      <c r="AD33" s="6">
        <v>250</v>
      </c>
      <c r="AE33" s="5">
        <v>4550</v>
      </c>
      <c r="AF33">
        <v>250</v>
      </c>
      <c r="AG33"/>
      <c r="AH33"/>
      <c r="AI33"/>
      <c r="AJ33"/>
    </row>
    <row r="34" spans="1:36" x14ac:dyDescent="0.25">
      <c r="A34">
        <v>33</v>
      </c>
      <c r="B34" s="1">
        <v>46026</v>
      </c>
      <c r="C34" s="1">
        <v>46026</v>
      </c>
      <c r="D34" s="2">
        <v>0.29166666666666669</v>
      </c>
      <c r="E34" s="2">
        <v>0.33333333333333331</v>
      </c>
      <c r="F34" s="3" t="s">
        <v>27</v>
      </c>
      <c r="G34" s="3" t="s">
        <v>113</v>
      </c>
      <c r="H34" s="3" t="s">
        <v>58</v>
      </c>
      <c r="I34" s="3" t="s">
        <v>30</v>
      </c>
      <c r="J34" s="3" t="s">
        <v>31</v>
      </c>
      <c r="K34" s="3" t="s">
        <v>32</v>
      </c>
      <c r="L34" s="3" t="s">
        <v>33</v>
      </c>
      <c r="M34">
        <v>100</v>
      </c>
      <c r="N34">
        <v>36</v>
      </c>
      <c r="O34">
        <v>60</v>
      </c>
      <c r="P34">
        <v>9</v>
      </c>
      <c r="Q34" s="3" t="s">
        <v>34</v>
      </c>
      <c r="R34">
        <v>86</v>
      </c>
      <c r="S34">
        <v>84</v>
      </c>
      <c r="T34">
        <v>2</v>
      </c>
      <c r="U34" s="3" t="s">
        <v>35</v>
      </c>
      <c r="V34" s="3" t="s">
        <v>36</v>
      </c>
      <c r="W34">
        <v>50</v>
      </c>
      <c r="X34">
        <v>100</v>
      </c>
      <c r="Y34">
        <v>51</v>
      </c>
      <c r="Z34" s="4">
        <v>0.85</v>
      </c>
      <c r="AA34" s="4">
        <v>1.01176470588235</v>
      </c>
      <c r="AB34" s="4">
        <v>0.97674418604651203</v>
      </c>
      <c r="AC34" s="4">
        <v>0.83999999999999797</v>
      </c>
      <c r="AD34" s="6">
        <v>750</v>
      </c>
      <c r="AE34" s="5">
        <v>4200</v>
      </c>
      <c r="AF34">
        <v>850</v>
      </c>
      <c r="AG34"/>
      <c r="AH34"/>
      <c r="AI34"/>
      <c r="AJ34"/>
    </row>
    <row r="35" spans="1:36" x14ac:dyDescent="0.25">
      <c r="A35">
        <v>34</v>
      </c>
      <c r="B35" s="1">
        <v>46026</v>
      </c>
      <c r="C35" s="1">
        <v>46026</v>
      </c>
      <c r="D35" s="2">
        <v>0.33333333333333331</v>
      </c>
      <c r="E35" s="2">
        <v>0.375</v>
      </c>
      <c r="F35" s="3" t="s">
        <v>27</v>
      </c>
      <c r="G35" s="3" t="s">
        <v>114</v>
      </c>
      <c r="H35" s="3" t="s">
        <v>91</v>
      </c>
      <c r="I35" s="3" t="s">
        <v>30</v>
      </c>
      <c r="J35" s="3" t="s">
        <v>31</v>
      </c>
      <c r="K35" s="3" t="s">
        <v>32</v>
      </c>
      <c r="L35" s="3" t="s">
        <v>33</v>
      </c>
      <c r="M35">
        <v>100</v>
      </c>
      <c r="N35">
        <v>36</v>
      </c>
      <c r="O35">
        <v>60</v>
      </c>
      <c r="P35">
        <v>0</v>
      </c>
      <c r="Q35" s="3" t="s">
        <v>39</v>
      </c>
      <c r="R35">
        <v>98</v>
      </c>
      <c r="S35">
        <v>97</v>
      </c>
      <c r="T35">
        <v>1</v>
      </c>
      <c r="U35" s="3" t="s">
        <v>35</v>
      </c>
      <c r="V35" s="3" t="s">
        <v>36</v>
      </c>
      <c r="W35">
        <v>50</v>
      </c>
      <c r="X35">
        <v>50</v>
      </c>
      <c r="Y35">
        <v>60</v>
      </c>
      <c r="Z35" s="4">
        <v>1</v>
      </c>
      <c r="AA35" s="4">
        <v>0.98</v>
      </c>
      <c r="AB35" s="4">
        <v>0.98979591836734704</v>
      </c>
      <c r="AC35" s="4">
        <v>0.97</v>
      </c>
      <c r="AD35" s="6">
        <v>0</v>
      </c>
      <c r="AE35" s="5">
        <v>4850</v>
      </c>
      <c r="AF35">
        <v>50</v>
      </c>
      <c r="AG35"/>
      <c r="AH35"/>
      <c r="AI35"/>
      <c r="AJ35"/>
    </row>
    <row r="36" spans="1:36" x14ac:dyDescent="0.25">
      <c r="A36">
        <v>35</v>
      </c>
      <c r="B36" s="1">
        <v>46026</v>
      </c>
      <c r="C36" s="1">
        <v>46026</v>
      </c>
      <c r="D36" s="2">
        <v>0.375</v>
      </c>
      <c r="E36" s="2">
        <v>0.41666666666666669</v>
      </c>
      <c r="F36" s="3" t="s">
        <v>27</v>
      </c>
      <c r="G36" s="3" t="s">
        <v>115</v>
      </c>
      <c r="H36" s="3" t="s">
        <v>84</v>
      </c>
      <c r="I36" s="3" t="s">
        <v>30</v>
      </c>
      <c r="J36" s="3" t="s">
        <v>31</v>
      </c>
      <c r="K36" s="3" t="s">
        <v>32</v>
      </c>
      <c r="L36" s="3" t="s">
        <v>33</v>
      </c>
      <c r="M36">
        <v>100</v>
      </c>
      <c r="N36">
        <v>36</v>
      </c>
      <c r="O36">
        <v>60</v>
      </c>
      <c r="P36">
        <v>10</v>
      </c>
      <c r="Q36" s="3" t="s">
        <v>41</v>
      </c>
      <c r="R36">
        <v>70</v>
      </c>
      <c r="S36">
        <v>64</v>
      </c>
      <c r="T36">
        <v>6</v>
      </c>
      <c r="U36" s="3" t="s">
        <v>42</v>
      </c>
      <c r="V36" s="3" t="s">
        <v>43</v>
      </c>
      <c r="W36">
        <v>50</v>
      </c>
      <c r="X36">
        <v>300</v>
      </c>
      <c r="Y36">
        <v>50</v>
      </c>
      <c r="Z36" s="4">
        <v>0.83333333333333404</v>
      </c>
      <c r="AA36" s="4">
        <v>0.84</v>
      </c>
      <c r="AB36" s="4">
        <v>0.91428571428571404</v>
      </c>
      <c r="AC36" s="4">
        <v>0.64</v>
      </c>
      <c r="AD36" s="6">
        <v>833.33330000000001</v>
      </c>
      <c r="AE36" s="5">
        <v>3200</v>
      </c>
      <c r="AF36">
        <v>1133.3333</v>
      </c>
      <c r="AG36"/>
      <c r="AH36"/>
      <c r="AI36"/>
      <c r="AJ36"/>
    </row>
    <row r="37" spans="1:36" x14ac:dyDescent="0.25">
      <c r="A37">
        <v>36</v>
      </c>
      <c r="B37" s="1">
        <v>46026</v>
      </c>
      <c r="C37" s="1">
        <v>46026</v>
      </c>
      <c r="D37" s="2">
        <v>0.41666666666666669</v>
      </c>
      <c r="E37" s="2">
        <v>0.45833333333333331</v>
      </c>
      <c r="F37" s="3" t="s">
        <v>27</v>
      </c>
      <c r="G37" s="3" t="s">
        <v>116</v>
      </c>
      <c r="H37" s="3" t="s">
        <v>117</v>
      </c>
      <c r="I37" s="3" t="s">
        <v>45</v>
      </c>
      <c r="J37" s="3" t="s">
        <v>46</v>
      </c>
      <c r="K37" s="3" t="s">
        <v>47</v>
      </c>
      <c r="L37" s="3" t="s">
        <v>33</v>
      </c>
      <c r="M37">
        <v>120</v>
      </c>
      <c r="N37">
        <v>30</v>
      </c>
      <c r="O37">
        <v>60</v>
      </c>
      <c r="P37">
        <v>2</v>
      </c>
      <c r="Q37" s="3" t="s">
        <v>48</v>
      </c>
      <c r="R37">
        <v>102</v>
      </c>
      <c r="S37">
        <v>99</v>
      </c>
      <c r="T37">
        <v>3</v>
      </c>
      <c r="U37" s="3" t="s">
        <v>49</v>
      </c>
      <c r="V37" s="3" t="s">
        <v>50</v>
      </c>
      <c r="W37">
        <v>80</v>
      </c>
      <c r="X37">
        <v>240</v>
      </c>
      <c r="Y37">
        <v>58</v>
      </c>
      <c r="Z37" s="4">
        <v>0.96666666666666701</v>
      </c>
      <c r="AA37" s="4">
        <v>0.87931034482758597</v>
      </c>
      <c r="AB37" s="4">
        <v>0.97058823529411797</v>
      </c>
      <c r="AC37" s="4">
        <v>0.82499999999999996</v>
      </c>
      <c r="AD37" s="6">
        <v>320</v>
      </c>
      <c r="AE37" s="5">
        <v>7920</v>
      </c>
      <c r="AF37">
        <v>560</v>
      </c>
      <c r="AG37"/>
      <c r="AH37"/>
      <c r="AI37"/>
      <c r="AJ37"/>
    </row>
    <row r="38" spans="1:36" x14ac:dyDescent="0.25">
      <c r="A38">
        <v>37</v>
      </c>
      <c r="B38" s="1">
        <v>46026</v>
      </c>
      <c r="C38" s="1">
        <v>46026</v>
      </c>
      <c r="D38" s="2">
        <v>0.45833333333333331</v>
      </c>
      <c r="E38" s="2">
        <v>0.5</v>
      </c>
      <c r="F38" s="3" t="s">
        <v>27</v>
      </c>
      <c r="G38" s="3" t="s">
        <v>118</v>
      </c>
      <c r="H38" s="3" t="s">
        <v>117</v>
      </c>
      <c r="I38" s="3" t="s">
        <v>45</v>
      </c>
      <c r="J38" s="3" t="s">
        <v>46</v>
      </c>
      <c r="K38" s="3" t="s">
        <v>47</v>
      </c>
      <c r="L38" s="3" t="s">
        <v>33</v>
      </c>
      <c r="M38">
        <v>120</v>
      </c>
      <c r="N38">
        <v>30</v>
      </c>
      <c r="O38">
        <v>60</v>
      </c>
      <c r="P38">
        <v>0</v>
      </c>
      <c r="Q38" s="3" t="s">
        <v>39</v>
      </c>
      <c r="R38">
        <v>123</v>
      </c>
      <c r="S38">
        <v>123</v>
      </c>
      <c r="T38">
        <v>0</v>
      </c>
      <c r="U38" s="3" t="s">
        <v>49</v>
      </c>
      <c r="V38" s="3" t="s">
        <v>50</v>
      </c>
      <c r="W38">
        <v>80</v>
      </c>
      <c r="X38">
        <v>0</v>
      </c>
      <c r="Y38">
        <v>60</v>
      </c>
      <c r="Z38" s="4">
        <v>1</v>
      </c>
      <c r="AA38" s="4">
        <v>1.0249999999999999</v>
      </c>
      <c r="AB38" s="4">
        <v>1</v>
      </c>
      <c r="AC38" s="4">
        <v>1.0249999999999999</v>
      </c>
      <c r="AD38" s="6">
        <v>0</v>
      </c>
      <c r="AE38" s="5">
        <v>9840</v>
      </c>
      <c r="AF38">
        <v>0</v>
      </c>
      <c r="AG38"/>
      <c r="AH38"/>
      <c r="AI38"/>
      <c r="AJ38"/>
    </row>
    <row r="39" spans="1:36" x14ac:dyDescent="0.25">
      <c r="A39">
        <v>38</v>
      </c>
      <c r="B39" s="1">
        <v>46026</v>
      </c>
      <c r="C39" s="1">
        <v>46026</v>
      </c>
      <c r="D39" s="2">
        <v>0.5</v>
      </c>
      <c r="E39" s="2">
        <v>0.54166666666666663</v>
      </c>
      <c r="F39" s="3" t="s">
        <v>27</v>
      </c>
      <c r="G39" s="3" t="s">
        <v>119</v>
      </c>
      <c r="H39" s="3" t="s">
        <v>117</v>
      </c>
      <c r="I39" s="3" t="s">
        <v>45</v>
      </c>
      <c r="J39" s="3" t="s">
        <v>46</v>
      </c>
      <c r="K39" s="3" t="s">
        <v>47</v>
      </c>
      <c r="L39" s="3" t="s">
        <v>33</v>
      </c>
      <c r="M39">
        <v>120</v>
      </c>
      <c r="N39">
        <v>30</v>
      </c>
      <c r="O39">
        <v>60</v>
      </c>
      <c r="P39">
        <v>3</v>
      </c>
      <c r="Q39" s="3" t="s">
        <v>53</v>
      </c>
      <c r="R39">
        <v>93</v>
      </c>
      <c r="S39">
        <v>86</v>
      </c>
      <c r="T39">
        <v>7</v>
      </c>
      <c r="U39" s="3" t="s">
        <v>54</v>
      </c>
      <c r="V39" s="3" t="s">
        <v>55</v>
      </c>
      <c r="W39">
        <v>80</v>
      </c>
      <c r="X39">
        <v>560</v>
      </c>
      <c r="Y39">
        <v>57</v>
      </c>
      <c r="Z39" s="4">
        <v>0.95</v>
      </c>
      <c r="AA39" s="4">
        <v>0.81578947368420995</v>
      </c>
      <c r="AB39" s="4">
        <v>0.92473118279569899</v>
      </c>
      <c r="AC39" s="4">
        <v>0.71666666666666601</v>
      </c>
      <c r="AD39" s="6">
        <v>480</v>
      </c>
      <c r="AE39" s="5">
        <v>6880</v>
      </c>
      <c r="AF39">
        <v>1040</v>
      </c>
      <c r="AG39"/>
      <c r="AH39"/>
      <c r="AI39"/>
      <c r="AJ39"/>
    </row>
    <row r="40" spans="1:36" x14ac:dyDescent="0.25">
      <c r="A40">
        <v>39</v>
      </c>
      <c r="B40" s="1">
        <v>46026</v>
      </c>
      <c r="C40" s="1">
        <v>46026</v>
      </c>
      <c r="D40" s="2">
        <v>0.54166666666666663</v>
      </c>
      <c r="E40" s="2">
        <v>0.58333333333333337</v>
      </c>
      <c r="F40" s="3" t="s">
        <v>56</v>
      </c>
      <c r="G40" s="3" t="s">
        <v>120</v>
      </c>
      <c r="H40" s="3" t="s">
        <v>38</v>
      </c>
      <c r="I40" s="3" t="s">
        <v>59</v>
      </c>
      <c r="J40" s="3" t="s">
        <v>60</v>
      </c>
      <c r="K40" s="3" t="s">
        <v>61</v>
      </c>
      <c r="L40" s="3" t="s">
        <v>62</v>
      </c>
      <c r="M40">
        <v>80</v>
      </c>
      <c r="N40">
        <v>45</v>
      </c>
      <c r="O40">
        <v>60</v>
      </c>
      <c r="P40">
        <v>11</v>
      </c>
      <c r="Q40" s="3" t="s">
        <v>34</v>
      </c>
      <c r="R40">
        <v>68</v>
      </c>
      <c r="S40">
        <v>68</v>
      </c>
      <c r="T40">
        <v>0</v>
      </c>
      <c r="U40" s="3" t="s">
        <v>63</v>
      </c>
      <c r="V40" s="3" t="s">
        <v>64</v>
      </c>
      <c r="W40">
        <v>120</v>
      </c>
      <c r="X40">
        <v>0</v>
      </c>
      <c r="Y40">
        <v>49</v>
      </c>
      <c r="Z40" s="4">
        <v>0.81666666666666698</v>
      </c>
      <c r="AA40" s="4">
        <v>1.0408163265306101</v>
      </c>
      <c r="AB40" s="4">
        <v>1</v>
      </c>
      <c r="AC40" s="4">
        <v>0.84999999999999898</v>
      </c>
      <c r="AD40" s="6">
        <v>1760</v>
      </c>
      <c r="AE40" s="5">
        <v>8160</v>
      </c>
      <c r="AF40">
        <v>1760</v>
      </c>
      <c r="AG40"/>
      <c r="AH40"/>
      <c r="AI40"/>
      <c r="AJ40"/>
    </row>
    <row r="41" spans="1:36" x14ac:dyDescent="0.25">
      <c r="A41">
        <v>40</v>
      </c>
      <c r="B41" s="1">
        <v>46026</v>
      </c>
      <c r="C41" s="1">
        <v>46026</v>
      </c>
      <c r="D41" s="2">
        <v>0.58333333333333337</v>
      </c>
      <c r="E41" s="2">
        <v>0.625</v>
      </c>
      <c r="F41" s="3" t="s">
        <v>56</v>
      </c>
      <c r="G41" s="3" t="s">
        <v>121</v>
      </c>
      <c r="H41" s="3" t="s">
        <v>117</v>
      </c>
      <c r="I41" s="3" t="s">
        <v>59</v>
      </c>
      <c r="J41" s="3" t="s">
        <v>60</v>
      </c>
      <c r="K41" s="3" t="s">
        <v>61</v>
      </c>
      <c r="L41" s="3" t="s">
        <v>62</v>
      </c>
      <c r="M41">
        <v>80</v>
      </c>
      <c r="N41">
        <v>45</v>
      </c>
      <c r="O41">
        <v>60</v>
      </c>
      <c r="P41">
        <v>0</v>
      </c>
      <c r="Q41" s="3" t="s">
        <v>39</v>
      </c>
      <c r="R41">
        <v>87</v>
      </c>
      <c r="S41">
        <v>78</v>
      </c>
      <c r="T41">
        <v>9</v>
      </c>
      <c r="U41" s="3" t="s">
        <v>63</v>
      </c>
      <c r="V41" s="3" t="s">
        <v>64</v>
      </c>
      <c r="W41">
        <v>120</v>
      </c>
      <c r="X41">
        <v>1080</v>
      </c>
      <c r="Y41">
        <v>60</v>
      </c>
      <c r="Z41" s="4">
        <v>1</v>
      </c>
      <c r="AA41" s="4">
        <v>1.0874999999999999</v>
      </c>
      <c r="AB41" s="4">
        <v>0.89655172413793105</v>
      </c>
      <c r="AC41" s="4">
        <v>0.97499999999999998</v>
      </c>
      <c r="AD41" s="6">
        <v>0</v>
      </c>
      <c r="AE41" s="5">
        <v>9360</v>
      </c>
      <c r="AF41">
        <v>1080</v>
      </c>
      <c r="AG41"/>
      <c r="AH41"/>
      <c r="AI41"/>
      <c r="AJ41"/>
    </row>
    <row r="42" spans="1:36" x14ac:dyDescent="0.25">
      <c r="A42">
        <v>41</v>
      </c>
      <c r="B42" s="1">
        <v>46026</v>
      </c>
      <c r="C42" s="1">
        <v>46026</v>
      </c>
      <c r="D42" s="2">
        <v>0.625</v>
      </c>
      <c r="E42" s="2">
        <v>0.66666666666666663</v>
      </c>
      <c r="F42" s="3" t="s">
        <v>56</v>
      </c>
      <c r="G42" s="3" t="s">
        <v>122</v>
      </c>
      <c r="H42" s="3" t="s">
        <v>58</v>
      </c>
      <c r="I42" s="3" t="s">
        <v>59</v>
      </c>
      <c r="J42" s="3" t="s">
        <v>60</v>
      </c>
      <c r="K42" s="3" t="s">
        <v>61</v>
      </c>
      <c r="L42" s="3" t="s">
        <v>62</v>
      </c>
      <c r="M42">
        <v>80</v>
      </c>
      <c r="N42">
        <v>45</v>
      </c>
      <c r="O42">
        <v>60</v>
      </c>
      <c r="P42">
        <v>37</v>
      </c>
      <c r="Q42" s="3" t="s">
        <v>68</v>
      </c>
      <c r="R42">
        <v>54</v>
      </c>
      <c r="S42">
        <v>35</v>
      </c>
      <c r="T42">
        <v>19</v>
      </c>
      <c r="U42" s="3" t="s">
        <v>69</v>
      </c>
      <c r="V42" s="3" t="s">
        <v>70</v>
      </c>
      <c r="W42">
        <v>120</v>
      </c>
      <c r="X42">
        <v>2280</v>
      </c>
      <c r="Y42">
        <v>23</v>
      </c>
      <c r="Z42" s="4">
        <v>0.38333333333333303</v>
      </c>
      <c r="AA42" s="4">
        <v>1.76086956521739</v>
      </c>
      <c r="AB42" s="4">
        <v>0.64814814814814803</v>
      </c>
      <c r="AC42" s="4">
        <v>0.437499999999999</v>
      </c>
      <c r="AD42" s="6">
        <v>5920</v>
      </c>
      <c r="AE42" s="5">
        <v>4200</v>
      </c>
      <c r="AF42">
        <v>8200</v>
      </c>
      <c r="AG42"/>
      <c r="AH42"/>
      <c r="AI42"/>
      <c r="AJ42"/>
    </row>
    <row r="43" spans="1:36" x14ac:dyDescent="0.25">
      <c r="A43">
        <v>42</v>
      </c>
      <c r="B43" s="1">
        <v>46026</v>
      </c>
      <c r="C43" s="1">
        <v>46026</v>
      </c>
      <c r="D43" s="2">
        <v>0.66666666666666663</v>
      </c>
      <c r="E43" s="2">
        <v>0.70833333333333337</v>
      </c>
      <c r="F43" s="3" t="s">
        <v>56</v>
      </c>
      <c r="G43" s="3" t="s">
        <v>123</v>
      </c>
      <c r="H43" s="3" t="s">
        <v>117</v>
      </c>
      <c r="I43" s="3" t="s">
        <v>30</v>
      </c>
      <c r="J43" s="3" t="s">
        <v>31</v>
      </c>
      <c r="K43" s="3" t="s">
        <v>32</v>
      </c>
      <c r="L43" s="3" t="s">
        <v>33</v>
      </c>
      <c r="M43">
        <v>100</v>
      </c>
      <c r="N43">
        <v>36</v>
      </c>
      <c r="O43">
        <v>60</v>
      </c>
      <c r="P43">
        <v>6</v>
      </c>
      <c r="Q43" s="3" t="s">
        <v>34</v>
      </c>
      <c r="R43">
        <v>90</v>
      </c>
      <c r="S43">
        <v>88</v>
      </c>
      <c r="T43">
        <v>2</v>
      </c>
      <c r="U43" s="3" t="s">
        <v>72</v>
      </c>
      <c r="V43" s="3" t="s">
        <v>73</v>
      </c>
      <c r="W43">
        <v>50</v>
      </c>
      <c r="X43">
        <v>100</v>
      </c>
      <c r="Y43">
        <v>54</v>
      </c>
      <c r="Z43" s="4">
        <v>0.9</v>
      </c>
      <c r="AA43" s="4">
        <v>1</v>
      </c>
      <c r="AB43" s="4">
        <v>0.97777777777777797</v>
      </c>
      <c r="AC43" s="4">
        <v>0.88</v>
      </c>
      <c r="AD43" s="6">
        <v>500</v>
      </c>
      <c r="AE43" s="5">
        <v>4400</v>
      </c>
      <c r="AF43">
        <v>600</v>
      </c>
      <c r="AG43"/>
      <c r="AH43"/>
      <c r="AI43"/>
      <c r="AJ43"/>
    </row>
    <row r="44" spans="1:36" x14ac:dyDescent="0.25">
      <c r="A44">
        <v>43</v>
      </c>
      <c r="B44" s="1">
        <v>46026</v>
      </c>
      <c r="C44" s="1">
        <v>46026</v>
      </c>
      <c r="D44" s="2">
        <v>0.70833333333333337</v>
      </c>
      <c r="E44" s="2">
        <v>0.75</v>
      </c>
      <c r="F44" s="3" t="s">
        <v>56</v>
      </c>
      <c r="G44" s="3" t="s">
        <v>124</v>
      </c>
      <c r="H44" s="3" t="s">
        <v>58</v>
      </c>
      <c r="I44" s="3" t="s">
        <v>30</v>
      </c>
      <c r="J44" s="3" t="s">
        <v>31</v>
      </c>
      <c r="K44" s="3" t="s">
        <v>32</v>
      </c>
      <c r="L44" s="3" t="s">
        <v>33</v>
      </c>
      <c r="M44">
        <v>100</v>
      </c>
      <c r="N44">
        <v>36</v>
      </c>
      <c r="O44">
        <v>60</v>
      </c>
      <c r="P44">
        <v>0</v>
      </c>
      <c r="Q44" s="3" t="s">
        <v>39</v>
      </c>
      <c r="R44">
        <v>107</v>
      </c>
      <c r="S44">
        <v>106</v>
      </c>
      <c r="T44">
        <v>1</v>
      </c>
      <c r="U44" s="3" t="s">
        <v>75</v>
      </c>
      <c r="V44" s="3" t="s">
        <v>76</v>
      </c>
      <c r="W44">
        <v>50</v>
      </c>
      <c r="X44">
        <v>50</v>
      </c>
      <c r="Y44">
        <v>60</v>
      </c>
      <c r="Z44" s="4">
        <v>1</v>
      </c>
      <c r="AA44" s="4">
        <v>1.07</v>
      </c>
      <c r="AB44" s="4">
        <v>0.99065420560747597</v>
      </c>
      <c r="AC44" s="4">
        <v>1.06</v>
      </c>
      <c r="AD44" s="6">
        <v>0</v>
      </c>
      <c r="AE44" s="5">
        <v>5300</v>
      </c>
      <c r="AF44">
        <v>50</v>
      </c>
      <c r="AG44"/>
      <c r="AH44"/>
      <c r="AI44"/>
      <c r="AJ44"/>
    </row>
    <row r="45" spans="1:36" x14ac:dyDescent="0.25">
      <c r="A45">
        <v>44</v>
      </c>
      <c r="B45" s="1">
        <v>46026</v>
      </c>
      <c r="C45" s="1">
        <v>46026</v>
      </c>
      <c r="D45" s="2">
        <v>0.70833333333333337</v>
      </c>
      <c r="E45" s="2">
        <v>0.75</v>
      </c>
      <c r="F45" s="3" t="s">
        <v>56</v>
      </c>
      <c r="G45" s="3" t="s">
        <v>125</v>
      </c>
      <c r="H45" s="3" t="s">
        <v>80</v>
      </c>
      <c r="I45" s="3" t="s">
        <v>30</v>
      </c>
      <c r="J45" s="3" t="s">
        <v>31</v>
      </c>
      <c r="K45" s="3" t="s">
        <v>32</v>
      </c>
      <c r="L45" s="3" t="s">
        <v>33</v>
      </c>
      <c r="M45">
        <v>100</v>
      </c>
      <c r="N45">
        <v>36</v>
      </c>
      <c r="O45">
        <v>60</v>
      </c>
      <c r="P45">
        <v>2</v>
      </c>
      <c r="Q45" s="3" t="s">
        <v>78</v>
      </c>
      <c r="R45">
        <v>102</v>
      </c>
      <c r="S45">
        <v>102</v>
      </c>
      <c r="T45">
        <v>0</v>
      </c>
      <c r="U45" s="3" t="s">
        <v>75</v>
      </c>
      <c r="V45" s="3" t="s">
        <v>76</v>
      </c>
      <c r="W45">
        <v>50</v>
      </c>
      <c r="X45">
        <v>0</v>
      </c>
      <c r="Y45">
        <v>58</v>
      </c>
      <c r="Z45" s="4">
        <v>0.96666666666666701</v>
      </c>
      <c r="AA45" s="4">
        <v>1.0551724137931</v>
      </c>
      <c r="AB45" s="4">
        <v>1</v>
      </c>
      <c r="AC45" s="4">
        <v>1.02</v>
      </c>
      <c r="AD45" s="6">
        <v>166.66669999999999</v>
      </c>
      <c r="AE45" s="5">
        <v>5100</v>
      </c>
      <c r="AF45">
        <v>166.66669999999999</v>
      </c>
      <c r="AG45"/>
      <c r="AH45"/>
      <c r="AI45"/>
      <c r="AJ45"/>
    </row>
    <row r="46" spans="1:36" x14ac:dyDescent="0.25">
      <c r="A46">
        <v>45</v>
      </c>
      <c r="B46" s="1">
        <v>46027</v>
      </c>
      <c r="C46" s="1">
        <v>46027</v>
      </c>
      <c r="D46" s="2">
        <v>0.29166666666666669</v>
      </c>
      <c r="E46" s="2">
        <v>0.33333333333333331</v>
      </c>
      <c r="F46" s="3" t="s">
        <v>27</v>
      </c>
      <c r="G46" s="3" t="s">
        <v>126</v>
      </c>
      <c r="H46" s="3" t="s">
        <v>117</v>
      </c>
      <c r="I46" s="3" t="s">
        <v>45</v>
      </c>
      <c r="J46" s="3" t="s">
        <v>46</v>
      </c>
      <c r="K46" s="3" t="s">
        <v>47</v>
      </c>
      <c r="L46" s="3" t="s">
        <v>33</v>
      </c>
      <c r="M46">
        <v>120</v>
      </c>
      <c r="N46">
        <v>30</v>
      </c>
      <c r="O46">
        <v>60</v>
      </c>
      <c r="P46">
        <v>0</v>
      </c>
      <c r="Q46" s="3" t="s">
        <v>39</v>
      </c>
      <c r="R46">
        <v>124</v>
      </c>
      <c r="S46">
        <v>116</v>
      </c>
      <c r="T46">
        <v>8</v>
      </c>
      <c r="U46" s="3" t="s">
        <v>35</v>
      </c>
      <c r="V46" s="3" t="s">
        <v>36</v>
      </c>
      <c r="W46">
        <v>80</v>
      </c>
      <c r="X46">
        <v>640</v>
      </c>
      <c r="Y46">
        <v>60</v>
      </c>
      <c r="Z46" s="4">
        <v>1</v>
      </c>
      <c r="AA46" s="4">
        <v>1.0333333333333301</v>
      </c>
      <c r="AB46" s="4">
        <v>0.93548387096774199</v>
      </c>
      <c r="AC46" s="4">
        <v>0.96666666666666401</v>
      </c>
      <c r="AD46" s="6">
        <v>0</v>
      </c>
      <c r="AE46" s="5">
        <v>9280</v>
      </c>
      <c r="AF46">
        <v>640</v>
      </c>
      <c r="AG46"/>
      <c r="AH46"/>
      <c r="AI46"/>
      <c r="AJ46"/>
    </row>
    <row r="47" spans="1:36" x14ac:dyDescent="0.25">
      <c r="A47">
        <v>46</v>
      </c>
      <c r="B47" s="1">
        <v>46027</v>
      </c>
      <c r="C47" s="1">
        <v>46027</v>
      </c>
      <c r="D47" s="2">
        <v>0.33333333333333331</v>
      </c>
      <c r="E47" s="2">
        <v>0.375</v>
      </c>
      <c r="F47" s="3" t="s">
        <v>27</v>
      </c>
      <c r="G47" s="3" t="s">
        <v>127</v>
      </c>
      <c r="H47" s="3" t="s">
        <v>38</v>
      </c>
      <c r="I47" s="3" t="s">
        <v>45</v>
      </c>
      <c r="J47" s="3" t="s">
        <v>46</v>
      </c>
      <c r="K47" s="3" t="s">
        <v>47</v>
      </c>
      <c r="L47" s="3" t="s">
        <v>33</v>
      </c>
      <c r="M47">
        <v>120</v>
      </c>
      <c r="N47">
        <v>30</v>
      </c>
      <c r="O47">
        <v>60</v>
      </c>
      <c r="P47">
        <v>12</v>
      </c>
      <c r="Q47" s="3" t="s">
        <v>82</v>
      </c>
      <c r="R47">
        <v>0</v>
      </c>
      <c r="S47">
        <v>0</v>
      </c>
      <c r="T47">
        <v>0</v>
      </c>
      <c r="U47" s="3" t="s">
        <v>42</v>
      </c>
      <c r="V47" s="3" t="s">
        <v>43</v>
      </c>
      <c r="W47">
        <v>80</v>
      </c>
      <c r="X47">
        <v>0</v>
      </c>
      <c r="Y47">
        <v>48</v>
      </c>
      <c r="Z47" s="4">
        <v>0.8</v>
      </c>
      <c r="AA47" s="4">
        <v>0</v>
      </c>
      <c r="AB47" s="4">
        <v>0</v>
      </c>
      <c r="AC47" s="4">
        <v>0</v>
      </c>
      <c r="AD47" s="6">
        <v>1920</v>
      </c>
      <c r="AE47" s="5">
        <v>0</v>
      </c>
      <c r="AF47">
        <v>1920</v>
      </c>
      <c r="AG47"/>
      <c r="AH47"/>
      <c r="AI47"/>
      <c r="AJ47"/>
    </row>
    <row r="48" spans="1:36" x14ac:dyDescent="0.25">
      <c r="A48">
        <v>47</v>
      </c>
      <c r="B48" s="1">
        <v>46027</v>
      </c>
      <c r="C48" s="1">
        <v>46027</v>
      </c>
      <c r="D48" s="2">
        <v>0.375</v>
      </c>
      <c r="E48" s="2">
        <v>0.41666666666666669</v>
      </c>
      <c r="F48" s="3" t="s">
        <v>27</v>
      </c>
      <c r="G48" s="3" t="s">
        <v>128</v>
      </c>
      <c r="H48" s="3" t="s">
        <v>38</v>
      </c>
      <c r="I48" s="3" t="s">
        <v>45</v>
      </c>
      <c r="J48" s="3" t="s">
        <v>46</v>
      </c>
      <c r="K48" s="3" t="s">
        <v>47</v>
      </c>
      <c r="L48" s="3" t="s">
        <v>33</v>
      </c>
      <c r="M48">
        <v>120</v>
      </c>
      <c r="N48">
        <v>30</v>
      </c>
      <c r="O48">
        <v>60</v>
      </c>
      <c r="P48">
        <v>2</v>
      </c>
      <c r="Q48" s="3" t="s">
        <v>85</v>
      </c>
      <c r="R48">
        <v>99</v>
      </c>
      <c r="S48">
        <v>95</v>
      </c>
      <c r="T48">
        <v>4</v>
      </c>
      <c r="U48" s="3" t="s">
        <v>42</v>
      </c>
      <c r="V48" s="3" t="s">
        <v>43</v>
      </c>
      <c r="W48">
        <v>80</v>
      </c>
      <c r="X48">
        <v>320</v>
      </c>
      <c r="Y48">
        <v>58</v>
      </c>
      <c r="Z48" s="4">
        <v>0.96666666666666701</v>
      </c>
      <c r="AA48" s="4">
        <v>0.85344827586206895</v>
      </c>
      <c r="AB48" s="4">
        <v>0.95959595959596</v>
      </c>
      <c r="AC48" s="4">
        <v>0.79166666666666696</v>
      </c>
      <c r="AD48" s="6">
        <v>320</v>
      </c>
      <c r="AE48" s="5">
        <v>7600</v>
      </c>
      <c r="AF48">
        <v>640</v>
      </c>
      <c r="AG48"/>
      <c r="AH48"/>
      <c r="AI48"/>
      <c r="AJ48"/>
    </row>
    <row r="49" spans="1:36" x14ac:dyDescent="0.25">
      <c r="A49">
        <v>48</v>
      </c>
      <c r="B49" s="1">
        <v>46027</v>
      </c>
      <c r="C49" s="1">
        <v>46027</v>
      </c>
      <c r="D49" s="2">
        <v>0.41666666666666669</v>
      </c>
      <c r="E49" s="2">
        <v>0.45833333333333331</v>
      </c>
      <c r="F49" s="3" t="s">
        <v>27</v>
      </c>
      <c r="G49" s="3" t="s">
        <v>129</v>
      </c>
      <c r="H49" s="3" t="s">
        <v>117</v>
      </c>
      <c r="I49" s="3" t="s">
        <v>59</v>
      </c>
      <c r="J49" s="3" t="s">
        <v>60</v>
      </c>
      <c r="K49" s="3" t="s">
        <v>61</v>
      </c>
      <c r="L49" s="3" t="s">
        <v>62</v>
      </c>
      <c r="M49">
        <v>80</v>
      </c>
      <c r="N49">
        <v>45</v>
      </c>
      <c r="O49">
        <v>60</v>
      </c>
      <c r="P49">
        <v>0</v>
      </c>
      <c r="Q49" s="3" t="s">
        <v>39</v>
      </c>
      <c r="R49">
        <v>86</v>
      </c>
      <c r="S49">
        <v>70</v>
      </c>
      <c r="T49">
        <v>16</v>
      </c>
      <c r="U49" s="3" t="s">
        <v>49</v>
      </c>
      <c r="V49" s="3" t="s">
        <v>50</v>
      </c>
      <c r="W49">
        <v>120</v>
      </c>
      <c r="X49">
        <v>1920</v>
      </c>
      <c r="Y49">
        <v>60</v>
      </c>
      <c r="Z49" s="4">
        <v>1</v>
      </c>
      <c r="AA49" s="4">
        <v>1.075</v>
      </c>
      <c r="AB49" s="4">
        <v>0.81395348837209303</v>
      </c>
      <c r="AC49" s="4">
        <v>0.875</v>
      </c>
      <c r="AD49" s="6">
        <v>0</v>
      </c>
      <c r="AE49" s="5">
        <v>8400</v>
      </c>
      <c r="AF49">
        <v>1920</v>
      </c>
      <c r="AG49"/>
      <c r="AH49"/>
      <c r="AI49"/>
      <c r="AJ49"/>
    </row>
    <row r="50" spans="1:36" x14ac:dyDescent="0.25">
      <c r="A50">
        <v>49</v>
      </c>
      <c r="B50" s="1">
        <v>46027</v>
      </c>
      <c r="C50" s="1">
        <v>46027</v>
      </c>
      <c r="D50" s="2">
        <v>0.45833333333333331</v>
      </c>
      <c r="E50" s="2">
        <v>0.5</v>
      </c>
      <c r="F50" s="3" t="s">
        <v>27</v>
      </c>
      <c r="G50" s="3" t="s">
        <v>130</v>
      </c>
      <c r="H50" s="3" t="s">
        <v>38</v>
      </c>
      <c r="I50" s="3" t="s">
        <v>59</v>
      </c>
      <c r="J50" s="3" t="s">
        <v>60</v>
      </c>
      <c r="K50" s="3" t="s">
        <v>61</v>
      </c>
      <c r="L50" s="3" t="s">
        <v>62</v>
      </c>
      <c r="M50">
        <v>80</v>
      </c>
      <c r="N50">
        <v>45</v>
      </c>
      <c r="O50">
        <v>60</v>
      </c>
      <c r="P50">
        <v>17</v>
      </c>
      <c r="Q50" s="3" t="s">
        <v>88</v>
      </c>
      <c r="R50">
        <v>67</v>
      </c>
      <c r="S50">
        <v>67</v>
      </c>
      <c r="T50">
        <v>0</v>
      </c>
      <c r="U50" s="3" t="s">
        <v>54</v>
      </c>
      <c r="V50" s="3" t="s">
        <v>55</v>
      </c>
      <c r="W50">
        <v>120</v>
      </c>
      <c r="X50">
        <v>0</v>
      </c>
      <c r="Y50">
        <v>43</v>
      </c>
      <c r="Z50" s="4">
        <v>0.71666666666666701</v>
      </c>
      <c r="AA50" s="4">
        <v>1.1686046511627901</v>
      </c>
      <c r="AB50" s="4">
        <v>1</v>
      </c>
      <c r="AC50" s="4">
        <v>0.83750000000000002</v>
      </c>
      <c r="AD50" s="6">
        <v>2720</v>
      </c>
      <c r="AE50" s="5">
        <v>8040</v>
      </c>
      <c r="AF50">
        <v>2720</v>
      </c>
      <c r="AG50"/>
      <c r="AH50"/>
      <c r="AI50"/>
      <c r="AJ50"/>
    </row>
    <row r="51" spans="1:36" x14ac:dyDescent="0.25">
      <c r="A51">
        <v>50</v>
      </c>
      <c r="B51" s="1">
        <v>46027</v>
      </c>
      <c r="C51" s="1">
        <v>46027</v>
      </c>
      <c r="D51" s="2">
        <v>0.5</v>
      </c>
      <c r="E51" s="2">
        <v>0.54166666666666663</v>
      </c>
      <c r="F51" s="3" t="s">
        <v>56</v>
      </c>
      <c r="G51" s="3" t="s">
        <v>131</v>
      </c>
      <c r="H51" s="3" t="s">
        <v>80</v>
      </c>
      <c r="I51" s="3" t="s">
        <v>30</v>
      </c>
      <c r="J51" s="3" t="s">
        <v>31</v>
      </c>
      <c r="K51" s="3" t="s">
        <v>32</v>
      </c>
      <c r="L51" s="3" t="s">
        <v>33</v>
      </c>
      <c r="M51">
        <v>100</v>
      </c>
      <c r="N51">
        <v>36</v>
      </c>
      <c r="O51">
        <v>60</v>
      </c>
      <c r="P51">
        <v>0</v>
      </c>
      <c r="Q51" s="3" t="s">
        <v>39</v>
      </c>
      <c r="R51">
        <v>105</v>
      </c>
      <c r="S51">
        <v>103</v>
      </c>
      <c r="T51">
        <v>2</v>
      </c>
      <c r="U51" s="3" t="s">
        <v>63</v>
      </c>
      <c r="V51" s="3" t="s">
        <v>64</v>
      </c>
      <c r="W51">
        <v>50</v>
      </c>
      <c r="X51">
        <v>100</v>
      </c>
      <c r="Y51">
        <v>60</v>
      </c>
      <c r="Z51" s="4">
        <v>1</v>
      </c>
      <c r="AA51" s="4">
        <v>1.05</v>
      </c>
      <c r="AB51" s="4">
        <v>0.98095238095238102</v>
      </c>
      <c r="AC51" s="4">
        <v>1.03</v>
      </c>
      <c r="AD51" s="6">
        <v>0</v>
      </c>
      <c r="AE51" s="5">
        <v>5150</v>
      </c>
      <c r="AF51">
        <v>100</v>
      </c>
      <c r="AG51"/>
      <c r="AH51"/>
      <c r="AI51"/>
      <c r="AJ51"/>
    </row>
    <row r="52" spans="1:36" x14ac:dyDescent="0.25">
      <c r="A52">
        <v>51</v>
      </c>
      <c r="B52" s="1">
        <v>46027</v>
      </c>
      <c r="C52" s="1">
        <v>46027</v>
      </c>
      <c r="D52" s="2">
        <v>0.54166666666666663</v>
      </c>
      <c r="E52" s="2">
        <v>0.58333333333333337</v>
      </c>
      <c r="F52" s="3" t="s">
        <v>56</v>
      </c>
      <c r="G52" s="3" t="s">
        <v>132</v>
      </c>
      <c r="H52" s="3" t="s">
        <v>98</v>
      </c>
      <c r="I52" s="3" t="s">
        <v>30</v>
      </c>
      <c r="J52" s="3" t="s">
        <v>31</v>
      </c>
      <c r="K52" s="3" t="s">
        <v>32</v>
      </c>
      <c r="L52" s="3" t="s">
        <v>33</v>
      </c>
      <c r="M52">
        <v>100</v>
      </c>
      <c r="N52">
        <v>36</v>
      </c>
      <c r="O52">
        <v>60</v>
      </c>
      <c r="P52">
        <v>5</v>
      </c>
      <c r="Q52" s="3" t="s">
        <v>92</v>
      </c>
      <c r="R52">
        <v>87</v>
      </c>
      <c r="S52">
        <v>87</v>
      </c>
      <c r="T52">
        <v>0</v>
      </c>
      <c r="U52" s="3" t="s">
        <v>69</v>
      </c>
      <c r="V52" s="3" t="s">
        <v>70</v>
      </c>
      <c r="W52">
        <v>50</v>
      </c>
      <c r="X52">
        <v>0</v>
      </c>
      <c r="Y52">
        <v>55</v>
      </c>
      <c r="Z52" s="4">
        <v>0.91666666666666596</v>
      </c>
      <c r="AA52" s="4">
        <v>0.94909090909090899</v>
      </c>
      <c r="AB52" s="4">
        <v>1</v>
      </c>
      <c r="AC52" s="4">
        <v>0.869999999999999</v>
      </c>
      <c r="AD52" s="6">
        <v>416.66669999999999</v>
      </c>
      <c r="AE52" s="5">
        <v>4350</v>
      </c>
      <c r="AF52">
        <v>416.66669999999999</v>
      </c>
      <c r="AG52"/>
      <c r="AH52"/>
      <c r="AI52"/>
      <c r="AJ52"/>
    </row>
    <row r="53" spans="1:36" x14ac:dyDescent="0.25">
      <c r="A53">
        <v>52</v>
      </c>
      <c r="B53" s="1">
        <v>46027</v>
      </c>
      <c r="C53" s="1">
        <v>46027</v>
      </c>
      <c r="D53" s="2">
        <v>0.58333333333333337</v>
      </c>
      <c r="E53" s="2">
        <v>0.625</v>
      </c>
      <c r="F53" s="3" t="s">
        <v>56</v>
      </c>
      <c r="G53" s="3" t="s">
        <v>133</v>
      </c>
      <c r="H53" s="3" t="s">
        <v>84</v>
      </c>
      <c r="I53" s="3" t="s">
        <v>45</v>
      </c>
      <c r="J53" s="3" t="s">
        <v>46</v>
      </c>
      <c r="K53" s="3" t="s">
        <v>47</v>
      </c>
      <c r="L53" s="3" t="s">
        <v>33</v>
      </c>
      <c r="M53">
        <v>120</v>
      </c>
      <c r="N53">
        <v>30</v>
      </c>
      <c r="O53">
        <v>60</v>
      </c>
      <c r="P53">
        <v>0</v>
      </c>
      <c r="Q53" s="3" t="s">
        <v>39</v>
      </c>
      <c r="R53">
        <v>126</v>
      </c>
      <c r="S53">
        <v>118</v>
      </c>
      <c r="T53">
        <v>8</v>
      </c>
      <c r="U53" s="3" t="s">
        <v>72</v>
      </c>
      <c r="V53" s="3" t="s">
        <v>73</v>
      </c>
      <c r="W53">
        <v>80</v>
      </c>
      <c r="X53">
        <v>640</v>
      </c>
      <c r="Y53">
        <v>60</v>
      </c>
      <c r="Z53" s="4">
        <v>1</v>
      </c>
      <c r="AA53" s="4">
        <v>1.05</v>
      </c>
      <c r="AB53" s="4">
        <v>0.93650793650793596</v>
      </c>
      <c r="AC53" s="4">
        <v>0.98333333333333295</v>
      </c>
      <c r="AD53" s="6">
        <v>0</v>
      </c>
      <c r="AE53" s="5">
        <v>9440</v>
      </c>
      <c r="AF53">
        <v>640</v>
      </c>
      <c r="AG53"/>
      <c r="AH53"/>
      <c r="AI53"/>
      <c r="AJ53"/>
    </row>
    <row r="54" spans="1:36" x14ac:dyDescent="0.25">
      <c r="A54">
        <v>53</v>
      </c>
      <c r="B54" s="1">
        <v>46027</v>
      </c>
      <c r="C54" s="1">
        <v>46027</v>
      </c>
      <c r="D54" s="2">
        <v>0.625</v>
      </c>
      <c r="E54" s="2">
        <v>0.66666666666666663</v>
      </c>
      <c r="F54" s="3" t="s">
        <v>56</v>
      </c>
      <c r="G54" s="3" t="s">
        <v>134</v>
      </c>
      <c r="H54" s="3" t="s">
        <v>84</v>
      </c>
      <c r="I54" s="3" t="s">
        <v>45</v>
      </c>
      <c r="J54" s="3" t="s">
        <v>46</v>
      </c>
      <c r="K54" s="3" t="s">
        <v>47</v>
      </c>
      <c r="L54" s="3" t="s">
        <v>33</v>
      </c>
      <c r="M54">
        <v>120</v>
      </c>
      <c r="N54">
        <v>30</v>
      </c>
      <c r="O54">
        <v>60</v>
      </c>
      <c r="P54">
        <v>14</v>
      </c>
      <c r="Q54" s="3" t="s">
        <v>95</v>
      </c>
      <c r="R54">
        <v>75</v>
      </c>
      <c r="S54">
        <v>60</v>
      </c>
      <c r="T54">
        <v>15</v>
      </c>
      <c r="U54" s="3" t="s">
        <v>63</v>
      </c>
      <c r="V54" s="3" t="s">
        <v>64</v>
      </c>
      <c r="W54">
        <v>80</v>
      </c>
      <c r="X54">
        <v>1200</v>
      </c>
      <c r="Y54">
        <v>46</v>
      </c>
      <c r="Z54" s="4">
        <v>0.76666666666666705</v>
      </c>
      <c r="AA54" s="4">
        <v>0.815217391304348</v>
      </c>
      <c r="AB54" s="4">
        <v>0.8</v>
      </c>
      <c r="AC54" s="4">
        <v>0.5</v>
      </c>
      <c r="AD54" s="6">
        <v>2240</v>
      </c>
      <c r="AE54" s="5">
        <v>4800</v>
      </c>
      <c r="AF54">
        <v>3440</v>
      </c>
      <c r="AG54"/>
      <c r="AH54"/>
      <c r="AI54"/>
      <c r="AJ54"/>
    </row>
    <row r="55" spans="1:36" x14ac:dyDescent="0.25">
      <c r="A55">
        <v>54</v>
      </c>
      <c r="B55" s="1">
        <v>46027</v>
      </c>
      <c r="C55" s="1">
        <v>46027</v>
      </c>
      <c r="D55" s="2">
        <v>0.70833333333333337</v>
      </c>
      <c r="E55" s="2">
        <v>0.75</v>
      </c>
      <c r="F55" s="3" t="s">
        <v>96</v>
      </c>
      <c r="G55" s="3" t="s">
        <v>135</v>
      </c>
      <c r="H55" s="3" t="s">
        <v>38</v>
      </c>
      <c r="I55" s="3" t="s">
        <v>59</v>
      </c>
      <c r="J55" s="3" t="s">
        <v>60</v>
      </c>
      <c r="K55" s="3" t="s">
        <v>61</v>
      </c>
      <c r="L55" s="3" t="s">
        <v>62</v>
      </c>
      <c r="M55">
        <v>80</v>
      </c>
      <c r="N55">
        <v>45</v>
      </c>
      <c r="O55">
        <v>60</v>
      </c>
      <c r="P55">
        <v>0</v>
      </c>
      <c r="Q55" s="3" t="s">
        <v>39</v>
      </c>
      <c r="R55">
        <v>79</v>
      </c>
      <c r="S55">
        <v>79</v>
      </c>
      <c r="T55">
        <v>0</v>
      </c>
      <c r="U55" s="3" t="s">
        <v>99</v>
      </c>
      <c r="V55" s="3" t="s">
        <v>100</v>
      </c>
      <c r="W55">
        <v>120</v>
      </c>
      <c r="X55">
        <v>0</v>
      </c>
      <c r="Y55">
        <v>60</v>
      </c>
      <c r="Z55" s="4">
        <v>1</v>
      </c>
      <c r="AA55" s="4">
        <v>0.98750000000000004</v>
      </c>
      <c r="AB55" s="4">
        <v>1</v>
      </c>
      <c r="AC55" s="4">
        <v>0.98750000000000004</v>
      </c>
      <c r="AD55" s="6">
        <v>0</v>
      </c>
      <c r="AE55" s="5">
        <v>9480</v>
      </c>
      <c r="AF55">
        <v>0</v>
      </c>
      <c r="AG55"/>
      <c r="AH55"/>
      <c r="AI55"/>
      <c r="AJ55"/>
    </row>
    <row r="56" spans="1:36" x14ac:dyDescent="0.25">
      <c r="A56">
        <v>55</v>
      </c>
      <c r="B56" s="1">
        <v>46027</v>
      </c>
      <c r="C56" s="1">
        <v>46027</v>
      </c>
      <c r="D56" s="2">
        <v>0.75</v>
      </c>
      <c r="E56" s="2">
        <v>0.79166666666666663</v>
      </c>
      <c r="F56" s="3" t="s">
        <v>96</v>
      </c>
      <c r="G56" s="3" t="s">
        <v>136</v>
      </c>
      <c r="H56" s="3" t="s">
        <v>80</v>
      </c>
      <c r="I56" s="3" t="s">
        <v>59</v>
      </c>
      <c r="J56" s="3" t="s">
        <v>60</v>
      </c>
      <c r="K56" s="3" t="s">
        <v>61</v>
      </c>
      <c r="L56" s="3" t="s">
        <v>62</v>
      </c>
      <c r="M56">
        <v>80</v>
      </c>
      <c r="N56">
        <v>45</v>
      </c>
      <c r="O56">
        <v>60</v>
      </c>
      <c r="P56">
        <v>31</v>
      </c>
      <c r="Q56" s="3" t="s">
        <v>102</v>
      </c>
      <c r="R56">
        <v>56</v>
      </c>
      <c r="S56">
        <v>38</v>
      </c>
      <c r="T56">
        <v>18</v>
      </c>
      <c r="U56" s="3" t="s">
        <v>99</v>
      </c>
      <c r="V56" s="3" t="s">
        <v>100</v>
      </c>
      <c r="W56">
        <v>120</v>
      </c>
      <c r="X56">
        <v>2160</v>
      </c>
      <c r="Y56">
        <v>29</v>
      </c>
      <c r="Z56" s="4">
        <v>0.483333333333333</v>
      </c>
      <c r="AA56" s="4">
        <v>1.44827586206897</v>
      </c>
      <c r="AB56" s="4">
        <v>0.67857142857142905</v>
      </c>
      <c r="AC56" s="4">
        <v>0.47500000000000098</v>
      </c>
      <c r="AD56" s="6">
        <v>4960</v>
      </c>
      <c r="AE56" s="5">
        <v>4560</v>
      </c>
      <c r="AF56">
        <v>7120</v>
      </c>
      <c r="AG56"/>
      <c r="AH56"/>
      <c r="AI56"/>
      <c r="AJ56"/>
    </row>
    <row r="57" spans="1:36" x14ac:dyDescent="0.25">
      <c r="A57">
        <v>56</v>
      </c>
      <c r="B57" s="1">
        <v>46028</v>
      </c>
      <c r="C57" s="1">
        <v>46028</v>
      </c>
      <c r="D57" s="2">
        <v>0.29166666666666669</v>
      </c>
      <c r="E57" s="2">
        <v>0.33333333333333331</v>
      </c>
      <c r="F57" s="3" t="s">
        <v>27</v>
      </c>
      <c r="G57" s="3" t="s">
        <v>137</v>
      </c>
      <c r="H57" s="3" t="s">
        <v>58</v>
      </c>
      <c r="I57" s="3" t="s">
        <v>30</v>
      </c>
      <c r="J57" s="3" t="s">
        <v>31</v>
      </c>
      <c r="K57" s="3" t="s">
        <v>32</v>
      </c>
      <c r="L57" s="3" t="s">
        <v>33</v>
      </c>
      <c r="M57">
        <v>100</v>
      </c>
      <c r="N57">
        <v>36</v>
      </c>
      <c r="O57">
        <v>60</v>
      </c>
      <c r="P57">
        <v>6</v>
      </c>
      <c r="Q57" s="3" t="s">
        <v>104</v>
      </c>
      <c r="R57">
        <v>88</v>
      </c>
      <c r="S57">
        <v>86</v>
      </c>
      <c r="T57">
        <v>2</v>
      </c>
      <c r="U57" s="3" t="s">
        <v>35</v>
      </c>
      <c r="V57" s="3" t="s">
        <v>36</v>
      </c>
      <c r="W57">
        <v>50</v>
      </c>
      <c r="X57">
        <v>100</v>
      </c>
      <c r="Y57">
        <v>54</v>
      </c>
      <c r="Z57" s="4">
        <v>0.9</v>
      </c>
      <c r="AA57" s="4">
        <v>0.97777777777777797</v>
      </c>
      <c r="AB57" s="4">
        <v>0.97727272727272696</v>
      </c>
      <c r="AC57" s="4">
        <v>0.86</v>
      </c>
      <c r="AD57" s="6">
        <v>500</v>
      </c>
      <c r="AE57" s="5">
        <v>4300</v>
      </c>
      <c r="AF57">
        <v>600</v>
      </c>
      <c r="AG57"/>
      <c r="AH57"/>
      <c r="AI57"/>
      <c r="AJ57"/>
    </row>
    <row r="58" spans="1:36" x14ac:dyDescent="0.25">
      <c r="A58">
        <v>57</v>
      </c>
      <c r="B58" s="1">
        <v>46028</v>
      </c>
      <c r="C58" s="1">
        <v>46028</v>
      </c>
      <c r="D58" s="2">
        <v>0.33333333333333331</v>
      </c>
      <c r="E58" s="2">
        <v>0.375</v>
      </c>
      <c r="F58" s="3" t="s">
        <v>27</v>
      </c>
      <c r="G58" s="3" t="s">
        <v>138</v>
      </c>
      <c r="H58" s="3" t="s">
        <v>67</v>
      </c>
      <c r="I58" s="3" t="s">
        <v>30</v>
      </c>
      <c r="J58" s="3" t="s">
        <v>31</v>
      </c>
      <c r="K58" s="3" t="s">
        <v>32</v>
      </c>
      <c r="L58" s="3" t="s">
        <v>33</v>
      </c>
      <c r="M58">
        <v>100</v>
      </c>
      <c r="N58">
        <v>36</v>
      </c>
      <c r="O58">
        <v>60</v>
      </c>
      <c r="P58">
        <v>0</v>
      </c>
      <c r="Q58" s="3" t="s">
        <v>39</v>
      </c>
      <c r="R58">
        <v>105</v>
      </c>
      <c r="S58">
        <v>105</v>
      </c>
      <c r="T58">
        <v>0</v>
      </c>
      <c r="U58" s="3" t="s">
        <v>35</v>
      </c>
      <c r="V58" s="3" t="s">
        <v>36</v>
      </c>
      <c r="W58">
        <v>50</v>
      </c>
      <c r="X58">
        <v>0</v>
      </c>
      <c r="Y58">
        <v>60</v>
      </c>
      <c r="Z58" s="4">
        <v>1</v>
      </c>
      <c r="AA58" s="4">
        <v>1.05</v>
      </c>
      <c r="AB58" s="4">
        <v>1</v>
      </c>
      <c r="AC58" s="4">
        <v>1.05</v>
      </c>
      <c r="AD58" s="6">
        <v>0</v>
      </c>
      <c r="AE58" s="5">
        <v>5250</v>
      </c>
      <c r="AF58">
        <v>0</v>
      </c>
      <c r="AG58"/>
      <c r="AH58"/>
      <c r="AI58"/>
      <c r="AJ58"/>
    </row>
    <row r="59" spans="1:36" x14ac:dyDescent="0.25">
      <c r="A59">
        <v>58</v>
      </c>
      <c r="B59" s="1">
        <v>46028</v>
      </c>
      <c r="C59" s="1">
        <v>46028</v>
      </c>
      <c r="D59" s="2">
        <v>0.375</v>
      </c>
      <c r="E59" s="2">
        <v>0.41666666666666669</v>
      </c>
      <c r="F59" s="3" t="s">
        <v>27</v>
      </c>
      <c r="G59" s="3" t="s">
        <v>139</v>
      </c>
      <c r="H59" s="3" t="s">
        <v>98</v>
      </c>
      <c r="I59" s="3" t="s">
        <v>30</v>
      </c>
      <c r="J59" s="3" t="s">
        <v>31</v>
      </c>
      <c r="K59" s="3" t="s">
        <v>32</v>
      </c>
      <c r="L59" s="3" t="s">
        <v>33</v>
      </c>
      <c r="M59">
        <v>100</v>
      </c>
      <c r="N59">
        <v>36</v>
      </c>
      <c r="O59">
        <v>60</v>
      </c>
      <c r="P59">
        <v>6</v>
      </c>
      <c r="Q59" s="3" t="s">
        <v>34</v>
      </c>
      <c r="R59">
        <v>97</v>
      </c>
      <c r="S59">
        <v>95</v>
      </c>
      <c r="T59">
        <v>2</v>
      </c>
      <c r="U59" s="3" t="s">
        <v>35</v>
      </c>
      <c r="V59" s="3" t="s">
        <v>36</v>
      </c>
      <c r="W59">
        <v>50</v>
      </c>
      <c r="X59">
        <v>100</v>
      </c>
      <c r="Y59">
        <v>54</v>
      </c>
      <c r="Z59" s="4">
        <v>0.9</v>
      </c>
      <c r="AA59" s="4">
        <v>1.0777777777777799</v>
      </c>
      <c r="AB59" s="4">
        <v>0.97938144329896903</v>
      </c>
      <c r="AC59" s="4">
        <v>0.95000000000000195</v>
      </c>
      <c r="AD59" s="6">
        <v>500</v>
      </c>
      <c r="AE59" s="5">
        <v>4750</v>
      </c>
      <c r="AF59">
        <v>600</v>
      </c>
      <c r="AG59"/>
      <c r="AH59"/>
      <c r="AI59"/>
      <c r="AJ59"/>
    </row>
    <row r="60" spans="1:36" x14ac:dyDescent="0.25">
      <c r="A60">
        <v>59</v>
      </c>
      <c r="B60" s="1">
        <v>46028</v>
      </c>
      <c r="C60" s="1">
        <v>46028</v>
      </c>
      <c r="D60" s="2">
        <v>0.41666666666666669</v>
      </c>
      <c r="E60" s="2">
        <v>0.45833333333333331</v>
      </c>
      <c r="F60" s="3" t="s">
        <v>27</v>
      </c>
      <c r="G60" s="3" t="s">
        <v>140</v>
      </c>
      <c r="H60" s="3" t="s">
        <v>98</v>
      </c>
      <c r="I60" s="3" t="s">
        <v>30</v>
      </c>
      <c r="J60" s="3" t="s">
        <v>31</v>
      </c>
      <c r="K60" s="3" t="s">
        <v>32</v>
      </c>
      <c r="L60" s="3" t="s">
        <v>33</v>
      </c>
      <c r="M60">
        <v>100</v>
      </c>
      <c r="N60">
        <v>36</v>
      </c>
      <c r="O60">
        <v>60</v>
      </c>
      <c r="P60">
        <v>10</v>
      </c>
      <c r="Q60" s="3" t="s">
        <v>41</v>
      </c>
      <c r="R60">
        <v>77</v>
      </c>
      <c r="S60">
        <v>72</v>
      </c>
      <c r="T60">
        <v>5</v>
      </c>
      <c r="U60" s="3" t="s">
        <v>42</v>
      </c>
      <c r="V60" s="3" t="s">
        <v>43</v>
      </c>
      <c r="W60">
        <v>50</v>
      </c>
      <c r="X60">
        <v>250</v>
      </c>
      <c r="Y60">
        <v>50</v>
      </c>
      <c r="Z60" s="4">
        <v>0.83333333333333404</v>
      </c>
      <c r="AA60" s="4">
        <v>0.92400000000000004</v>
      </c>
      <c r="AB60" s="4">
        <v>0.93506493506493504</v>
      </c>
      <c r="AC60" s="4">
        <v>0.72000000000000097</v>
      </c>
      <c r="AD60" s="6">
        <v>833.33330000000001</v>
      </c>
      <c r="AE60" s="5">
        <v>3600</v>
      </c>
      <c r="AF60">
        <v>1083.3333</v>
      </c>
      <c r="AG60"/>
      <c r="AH60"/>
      <c r="AI60"/>
      <c r="AJ60"/>
    </row>
    <row r="61" spans="1:36" x14ac:dyDescent="0.25">
      <c r="A61">
        <v>60</v>
      </c>
      <c r="B61" s="1">
        <v>46028</v>
      </c>
      <c r="C61" s="1">
        <v>46028</v>
      </c>
      <c r="D61" s="2">
        <v>0.45833333333333331</v>
      </c>
      <c r="E61" s="2">
        <v>0.5</v>
      </c>
      <c r="F61" s="3" t="s">
        <v>27</v>
      </c>
      <c r="G61" s="3" t="s">
        <v>141</v>
      </c>
      <c r="H61" s="3" t="s">
        <v>29</v>
      </c>
      <c r="I61" s="3" t="s">
        <v>45</v>
      </c>
      <c r="J61" s="3" t="s">
        <v>46</v>
      </c>
      <c r="K61" s="3" t="s">
        <v>47</v>
      </c>
      <c r="L61" s="3" t="s">
        <v>33</v>
      </c>
      <c r="M61">
        <v>120</v>
      </c>
      <c r="N61">
        <v>30</v>
      </c>
      <c r="O61">
        <v>60</v>
      </c>
      <c r="P61">
        <v>2</v>
      </c>
      <c r="Q61" s="3" t="s">
        <v>48</v>
      </c>
      <c r="R61">
        <v>119</v>
      </c>
      <c r="S61">
        <v>112</v>
      </c>
      <c r="T61">
        <v>7</v>
      </c>
      <c r="U61" s="3" t="s">
        <v>49</v>
      </c>
      <c r="V61" s="3" t="s">
        <v>50</v>
      </c>
      <c r="W61">
        <v>80</v>
      </c>
      <c r="X61">
        <v>560</v>
      </c>
      <c r="Y61">
        <v>58</v>
      </c>
      <c r="Z61" s="4">
        <v>0.96666666666666701</v>
      </c>
      <c r="AA61" s="4">
        <v>1.02586206896552</v>
      </c>
      <c r="AB61" s="4">
        <v>0.94117647058823495</v>
      </c>
      <c r="AC61" s="4">
        <v>0.93333333333333601</v>
      </c>
      <c r="AD61" s="6">
        <v>320</v>
      </c>
      <c r="AE61" s="5">
        <v>8960</v>
      </c>
      <c r="AF61">
        <v>880</v>
      </c>
      <c r="AG61"/>
      <c r="AH61"/>
      <c r="AI61"/>
      <c r="AJ61"/>
    </row>
    <row r="62" spans="1:36" x14ac:dyDescent="0.25">
      <c r="A62">
        <v>61</v>
      </c>
      <c r="B62" s="1">
        <v>46028</v>
      </c>
      <c r="C62" s="1">
        <v>46028</v>
      </c>
      <c r="D62" s="2">
        <v>0.5</v>
      </c>
      <c r="E62" s="2">
        <v>0.54166666666666663</v>
      </c>
      <c r="F62" s="3" t="s">
        <v>56</v>
      </c>
      <c r="G62" s="3" t="s">
        <v>142</v>
      </c>
      <c r="H62" s="3" t="s">
        <v>91</v>
      </c>
      <c r="I62" s="3" t="s">
        <v>59</v>
      </c>
      <c r="J62" s="3" t="s">
        <v>60</v>
      </c>
      <c r="K62" s="3" t="s">
        <v>61</v>
      </c>
      <c r="L62" s="3" t="s">
        <v>62</v>
      </c>
      <c r="M62">
        <v>80</v>
      </c>
      <c r="N62">
        <v>45</v>
      </c>
      <c r="O62">
        <v>60</v>
      </c>
      <c r="P62">
        <v>6</v>
      </c>
      <c r="Q62" s="3" t="s">
        <v>34</v>
      </c>
      <c r="R62">
        <v>77</v>
      </c>
      <c r="S62">
        <v>77</v>
      </c>
      <c r="T62">
        <v>0</v>
      </c>
      <c r="U62" s="3" t="s">
        <v>63</v>
      </c>
      <c r="V62" s="3" t="s">
        <v>64</v>
      </c>
      <c r="W62">
        <v>120</v>
      </c>
      <c r="X62">
        <v>0</v>
      </c>
      <c r="Y62">
        <v>54</v>
      </c>
      <c r="Z62" s="4">
        <v>0.9</v>
      </c>
      <c r="AA62" s="4">
        <v>1.06944444444444</v>
      </c>
      <c r="AB62" s="4">
        <v>1</v>
      </c>
      <c r="AC62" s="4">
        <v>0.96249999999999603</v>
      </c>
      <c r="AD62" s="6">
        <v>960</v>
      </c>
      <c r="AE62" s="5">
        <v>9240</v>
      </c>
      <c r="AF62">
        <v>960</v>
      </c>
      <c r="AG62"/>
      <c r="AH62"/>
      <c r="AI62"/>
      <c r="AJ62"/>
    </row>
    <row r="63" spans="1:36" x14ac:dyDescent="0.25">
      <c r="A63">
        <v>62</v>
      </c>
      <c r="B63" s="1">
        <v>46028</v>
      </c>
      <c r="C63" s="1">
        <v>46028</v>
      </c>
      <c r="D63" s="2">
        <v>0.54166666666666663</v>
      </c>
      <c r="E63" s="2">
        <v>0.58333333333333337</v>
      </c>
      <c r="F63" s="3" t="s">
        <v>56</v>
      </c>
      <c r="G63" s="3" t="s">
        <v>143</v>
      </c>
      <c r="H63" s="3" t="s">
        <v>38</v>
      </c>
      <c r="I63" s="3" t="s">
        <v>59</v>
      </c>
      <c r="J63" s="3" t="s">
        <v>60</v>
      </c>
      <c r="K63" s="3" t="s">
        <v>61</v>
      </c>
      <c r="L63" s="3" t="s">
        <v>62</v>
      </c>
      <c r="M63">
        <v>80</v>
      </c>
      <c r="N63">
        <v>45</v>
      </c>
      <c r="O63">
        <v>60</v>
      </c>
      <c r="P63">
        <v>37</v>
      </c>
      <c r="Q63" s="3" t="s">
        <v>68</v>
      </c>
      <c r="R63">
        <v>51</v>
      </c>
      <c r="S63">
        <v>13</v>
      </c>
      <c r="T63">
        <v>38</v>
      </c>
      <c r="U63" s="3" t="s">
        <v>69</v>
      </c>
      <c r="V63" s="3" t="s">
        <v>70</v>
      </c>
      <c r="W63">
        <v>120</v>
      </c>
      <c r="X63">
        <v>4560</v>
      </c>
      <c r="Y63">
        <v>23</v>
      </c>
      <c r="Z63" s="4">
        <v>0.38333333333333303</v>
      </c>
      <c r="AA63" s="4">
        <v>1.6630434782608701</v>
      </c>
      <c r="AB63" s="4">
        <v>0.25490196078431399</v>
      </c>
      <c r="AC63" s="4">
        <v>0.16250000000000001</v>
      </c>
      <c r="AD63" s="6">
        <v>5920</v>
      </c>
      <c r="AE63" s="5">
        <v>1560</v>
      </c>
      <c r="AF63">
        <v>10480</v>
      </c>
      <c r="AG63"/>
      <c r="AH63"/>
      <c r="AI63"/>
      <c r="AJ63"/>
    </row>
    <row r="64" spans="1:36" x14ac:dyDescent="0.25">
      <c r="A64">
        <v>63</v>
      </c>
      <c r="B64" s="1">
        <v>46028</v>
      </c>
      <c r="C64" s="1">
        <v>46028</v>
      </c>
      <c r="D64" s="2">
        <v>0.58333333333333337</v>
      </c>
      <c r="E64" s="2">
        <v>0.625</v>
      </c>
      <c r="F64" s="3" t="s">
        <v>56</v>
      </c>
      <c r="G64" s="3" t="s">
        <v>144</v>
      </c>
      <c r="H64" s="3" t="s">
        <v>29</v>
      </c>
      <c r="I64" s="3" t="s">
        <v>30</v>
      </c>
      <c r="J64" s="3" t="s">
        <v>31</v>
      </c>
      <c r="K64" s="3" t="s">
        <v>32</v>
      </c>
      <c r="L64" s="3" t="s">
        <v>33</v>
      </c>
      <c r="M64">
        <v>100</v>
      </c>
      <c r="N64">
        <v>36</v>
      </c>
      <c r="O64">
        <v>60</v>
      </c>
      <c r="P64">
        <v>9</v>
      </c>
      <c r="Q64" s="3" t="s">
        <v>34</v>
      </c>
      <c r="R64">
        <v>97</v>
      </c>
      <c r="S64">
        <v>95</v>
      </c>
      <c r="T64">
        <v>2</v>
      </c>
      <c r="U64" s="3" t="s">
        <v>72</v>
      </c>
      <c r="V64" s="3" t="s">
        <v>73</v>
      </c>
      <c r="W64">
        <v>50</v>
      </c>
      <c r="X64">
        <v>100</v>
      </c>
      <c r="Y64">
        <v>51</v>
      </c>
      <c r="Z64" s="4">
        <v>0.85</v>
      </c>
      <c r="AA64" s="4">
        <v>1.1411764705882399</v>
      </c>
      <c r="AB64" s="4">
        <v>0.97938144329896903</v>
      </c>
      <c r="AC64" s="4">
        <v>0.95000000000000395</v>
      </c>
      <c r="AD64" s="6">
        <v>750</v>
      </c>
      <c r="AE64" s="5">
        <v>4750</v>
      </c>
      <c r="AF64">
        <v>850</v>
      </c>
      <c r="AG64"/>
      <c r="AH64"/>
      <c r="AI64"/>
      <c r="AJ64"/>
    </row>
    <row r="65" spans="1:36" x14ac:dyDescent="0.25">
      <c r="A65">
        <v>64</v>
      </c>
      <c r="B65" s="1">
        <v>46028</v>
      </c>
      <c r="C65" s="1">
        <v>46028</v>
      </c>
      <c r="D65" s="2">
        <v>0.625</v>
      </c>
      <c r="E65" s="2">
        <v>0.66666666666666663</v>
      </c>
      <c r="F65" s="3" t="s">
        <v>56</v>
      </c>
      <c r="G65" s="3" t="s">
        <v>145</v>
      </c>
      <c r="H65" s="3" t="s">
        <v>91</v>
      </c>
      <c r="I65" s="3" t="s">
        <v>30</v>
      </c>
      <c r="J65" s="3" t="s">
        <v>31</v>
      </c>
      <c r="K65" s="3" t="s">
        <v>32</v>
      </c>
      <c r="L65" s="3" t="s">
        <v>33</v>
      </c>
      <c r="M65">
        <v>100</v>
      </c>
      <c r="N65">
        <v>36</v>
      </c>
      <c r="O65">
        <v>60</v>
      </c>
      <c r="P65">
        <v>2</v>
      </c>
      <c r="Q65" s="3" t="s">
        <v>78</v>
      </c>
      <c r="R65">
        <v>105</v>
      </c>
      <c r="S65">
        <v>105</v>
      </c>
      <c r="T65">
        <v>0</v>
      </c>
      <c r="U65" s="3" t="s">
        <v>75</v>
      </c>
      <c r="V65" s="3" t="s">
        <v>76</v>
      </c>
      <c r="W65">
        <v>50</v>
      </c>
      <c r="X65">
        <v>0</v>
      </c>
      <c r="Y65">
        <v>58</v>
      </c>
      <c r="Z65" s="4">
        <v>0.96666666666666701</v>
      </c>
      <c r="AA65" s="4">
        <v>1.08620689655172</v>
      </c>
      <c r="AB65" s="4">
        <v>1</v>
      </c>
      <c r="AC65" s="4">
        <v>1.05</v>
      </c>
      <c r="AD65" s="6">
        <v>166.66669999999999</v>
      </c>
      <c r="AE65" s="5">
        <v>5250</v>
      </c>
      <c r="AF65">
        <v>166.66669999999999</v>
      </c>
      <c r="AG65"/>
      <c r="AH65"/>
      <c r="AI65"/>
      <c r="AJ65"/>
    </row>
    <row r="66" spans="1:36" x14ac:dyDescent="0.25">
      <c r="A66">
        <v>65</v>
      </c>
      <c r="B66" s="1">
        <v>46029</v>
      </c>
      <c r="C66" s="1">
        <v>46029</v>
      </c>
      <c r="D66" s="2">
        <v>0.29166666666666669</v>
      </c>
      <c r="E66" s="2">
        <v>0.33333333333333331</v>
      </c>
      <c r="F66" s="3" t="s">
        <v>27</v>
      </c>
      <c r="G66" s="3" t="s">
        <v>146</v>
      </c>
      <c r="H66" s="3" t="s">
        <v>98</v>
      </c>
      <c r="I66" s="3" t="s">
        <v>30</v>
      </c>
      <c r="J66" s="3" t="s">
        <v>31</v>
      </c>
      <c r="K66" s="3" t="s">
        <v>32</v>
      </c>
      <c r="L66" s="3" t="s">
        <v>33</v>
      </c>
      <c r="M66">
        <v>100</v>
      </c>
      <c r="N66">
        <v>36</v>
      </c>
      <c r="O66">
        <v>60</v>
      </c>
      <c r="P66">
        <v>8</v>
      </c>
      <c r="Q66" s="3" t="s">
        <v>34</v>
      </c>
      <c r="R66">
        <v>98</v>
      </c>
      <c r="S66">
        <v>96</v>
      </c>
      <c r="T66">
        <v>2</v>
      </c>
      <c r="U66" s="3" t="s">
        <v>35</v>
      </c>
      <c r="V66" s="3" t="s">
        <v>36</v>
      </c>
      <c r="W66">
        <v>50</v>
      </c>
      <c r="X66">
        <v>100</v>
      </c>
      <c r="Y66">
        <v>52</v>
      </c>
      <c r="Z66" s="4">
        <v>0.86666666666666703</v>
      </c>
      <c r="AA66" s="4">
        <v>1.1307692307692301</v>
      </c>
      <c r="AB66" s="4">
        <v>0.97959183673469397</v>
      </c>
      <c r="AC66" s="4">
        <v>0.96</v>
      </c>
      <c r="AD66" s="6">
        <v>666.66669999999999</v>
      </c>
      <c r="AE66" s="5">
        <v>4800</v>
      </c>
      <c r="AF66">
        <v>766.66669999999999</v>
      </c>
      <c r="AG66"/>
      <c r="AH66"/>
      <c r="AI66"/>
      <c r="AJ66"/>
    </row>
    <row r="67" spans="1:36" x14ac:dyDescent="0.25">
      <c r="A67">
        <v>66</v>
      </c>
      <c r="B67" s="1">
        <v>46029</v>
      </c>
      <c r="C67" s="1">
        <v>46029</v>
      </c>
      <c r="D67" s="2">
        <v>0.33333333333333331</v>
      </c>
      <c r="E67" s="2">
        <v>0.375</v>
      </c>
      <c r="F67" s="3" t="s">
        <v>27</v>
      </c>
      <c r="G67" s="3" t="s">
        <v>147</v>
      </c>
      <c r="H67" s="3" t="s">
        <v>58</v>
      </c>
      <c r="I67" s="3" t="s">
        <v>30</v>
      </c>
      <c r="J67" s="3" t="s">
        <v>31</v>
      </c>
      <c r="K67" s="3" t="s">
        <v>32</v>
      </c>
      <c r="L67" s="3" t="s">
        <v>33</v>
      </c>
      <c r="M67">
        <v>100</v>
      </c>
      <c r="N67">
        <v>36</v>
      </c>
      <c r="O67">
        <v>60</v>
      </c>
      <c r="P67">
        <v>0</v>
      </c>
      <c r="Q67" s="3" t="s">
        <v>39</v>
      </c>
      <c r="R67">
        <v>93</v>
      </c>
      <c r="S67">
        <v>92</v>
      </c>
      <c r="T67">
        <v>1</v>
      </c>
      <c r="U67" s="3" t="s">
        <v>35</v>
      </c>
      <c r="V67" s="3" t="s">
        <v>36</v>
      </c>
      <c r="W67">
        <v>50</v>
      </c>
      <c r="X67">
        <v>50</v>
      </c>
      <c r="Y67">
        <v>60</v>
      </c>
      <c r="Z67" s="4">
        <v>1</v>
      </c>
      <c r="AA67" s="4">
        <v>0.93</v>
      </c>
      <c r="AB67" s="4">
        <v>0.989247311827957</v>
      </c>
      <c r="AC67" s="4">
        <v>0.92</v>
      </c>
      <c r="AD67" s="6">
        <v>0</v>
      </c>
      <c r="AE67" s="5">
        <v>4600</v>
      </c>
      <c r="AF67">
        <v>50</v>
      </c>
      <c r="AG67"/>
      <c r="AH67"/>
      <c r="AI67"/>
      <c r="AJ67"/>
    </row>
    <row r="68" spans="1:36" x14ac:dyDescent="0.25">
      <c r="A68">
        <v>67</v>
      </c>
      <c r="B68" s="1">
        <v>46029</v>
      </c>
      <c r="C68" s="1">
        <v>46029</v>
      </c>
      <c r="D68" s="2">
        <v>0.375</v>
      </c>
      <c r="E68" s="2">
        <v>0.41666666666666669</v>
      </c>
      <c r="F68" s="3" t="s">
        <v>27</v>
      </c>
      <c r="G68" s="3" t="s">
        <v>148</v>
      </c>
      <c r="H68" s="3" t="s">
        <v>29</v>
      </c>
      <c r="I68" s="3" t="s">
        <v>30</v>
      </c>
      <c r="J68" s="3" t="s">
        <v>31</v>
      </c>
      <c r="K68" s="3" t="s">
        <v>32</v>
      </c>
      <c r="L68" s="3" t="s">
        <v>33</v>
      </c>
      <c r="M68">
        <v>100</v>
      </c>
      <c r="N68">
        <v>36</v>
      </c>
      <c r="O68">
        <v>60</v>
      </c>
      <c r="P68">
        <v>18</v>
      </c>
      <c r="Q68" s="3" t="s">
        <v>41</v>
      </c>
      <c r="R68">
        <v>70</v>
      </c>
      <c r="S68">
        <v>64</v>
      </c>
      <c r="T68">
        <v>6</v>
      </c>
      <c r="U68" s="3" t="s">
        <v>42</v>
      </c>
      <c r="V68" s="3" t="s">
        <v>43</v>
      </c>
      <c r="W68">
        <v>50</v>
      </c>
      <c r="X68">
        <v>300</v>
      </c>
      <c r="Y68">
        <v>42</v>
      </c>
      <c r="Z68" s="4">
        <v>0.7</v>
      </c>
      <c r="AA68" s="4">
        <v>1</v>
      </c>
      <c r="AB68" s="4">
        <v>0.91428571428571404</v>
      </c>
      <c r="AC68" s="4">
        <v>0.64</v>
      </c>
      <c r="AD68" s="6">
        <v>1500</v>
      </c>
      <c r="AE68" s="5">
        <v>3200</v>
      </c>
      <c r="AF68">
        <v>1800</v>
      </c>
      <c r="AG68"/>
      <c r="AH68"/>
      <c r="AI68"/>
      <c r="AJ68"/>
    </row>
    <row r="69" spans="1:36" x14ac:dyDescent="0.25">
      <c r="A69">
        <v>68</v>
      </c>
      <c r="B69" s="1">
        <v>46029</v>
      </c>
      <c r="C69" s="1">
        <v>46029</v>
      </c>
      <c r="D69" s="2">
        <v>0.41666666666666669</v>
      </c>
      <c r="E69" s="2">
        <v>0.45833333333333331</v>
      </c>
      <c r="F69" s="3" t="s">
        <v>27</v>
      </c>
      <c r="G69" s="3" t="s">
        <v>149</v>
      </c>
      <c r="H69" s="3" t="s">
        <v>67</v>
      </c>
      <c r="I69" s="3" t="s">
        <v>45</v>
      </c>
      <c r="J69" s="3" t="s">
        <v>46</v>
      </c>
      <c r="K69" s="3" t="s">
        <v>47</v>
      </c>
      <c r="L69" s="3" t="s">
        <v>33</v>
      </c>
      <c r="M69">
        <v>120</v>
      </c>
      <c r="N69">
        <v>30</v>
      </c>
      <c r="O69">
        <v>60</v>
      </c>
      <c r="P69">
        <v>2</v>
      </c>
      <c r="Q69" s="3" t="s">
        <v>48</v>
      </c>
      <c r="R69">
        <v>113</v>
      </c>
      <c r="S69">
        <v>106</v>
      </c>
      <c r="T69">
        <v>7</v>
      </c>
      <c r="U69" s="3" t="s">
        <v>49</v>
      </c>
      <c r="V69" s="3" t="s">
        <v>50</v>
      </c>
      <c r="W69">
        <v>80</v>
      </c>
      <c r="X69">
        <v>560</v>
      </c>
      <c r="Y69">
        <v>58</v>
      </c>
      <c r="Z69" s="4">
        <v>0.96666666666666701</v>
      </c>
      <c r="AA69" s="4">
        <v>0.97413793103448298</v>
      </c>
      <c r="AB69" s="4">
        <v>0.93805309734513298</v>
      </c>
      <c r="AC69" s="4">
        <v>0.88333333333333397</v>
      </c>
      <c r="AD69" s="6">
        <v>320</v>
      </c>
      <c r="AE69" s="5">
        <v>8480</v>
      </c>
      <c r="AF69">
        <v>880</v>
      </c>
      <c r="AG69"/>
      <c r="AH69"/>
      <c r="AI69"/>
      <c r="AJ69"/>
    </row>
    <row r="70" spans="1:36" x14ac:dyDescent="0.25">
      <c r="A70">
        <v>69</v>
      </c>
      <c r="B70" s="1">
        <v>46029</v>
      </c>
      <c r="C70" s="1">
        <v>46029</v>
      </c>
      <c r="D70" s="2">
        <v>0.45833333333333331</v>
      </c>
      <c r="E70" s="2">
        <v>0.5</v>
      </c>
      <c r="F70" s="3" t="s">
        <v>27</v>
      </c>
      <c r="G70" s="3" t="s">
        <v>150</v>
      </c>
      <c r="H70" s="3" t="s">
        <v>117</v>
      </c>
      <c r="I70" s="3" t="s">
        <v>45</v>
      </c>
      <c r="J70" s="3" t="s">
        <v>46</v>
      </c>
      <c r="K70" s="3" t="s">
        <v>47</v>
      </c>
      <c r="L70" s="3" t="s">
        <v>33</v>
      </c>
      <c r="M70">
        <v>120</v>
      </c>
      <c r="N70">
        <v>30</v>
      </c>
      <c r="O70">
        <v>60</v>
      </c>
      <c r="P70">
        <v>0</v>
      </c>
      <c r="Q70" s="3" t="s">
        <v>39</v>
      </c>
      <c r="R70">
        <v>127</v>
      </c>
      <c r="S70">
        <v>127</v>
      </c>
      <c r="T70">
        <v>0</v>
      </c>
      <c r="U70" s="3" t="s">
        <v>49</v>
      </c>
      <c r="V70" s="3" t="s">
        <v>50</v>
      </c>
      <c r="W70">
        <v>80</v>
      </c>
      <c r="X70">
        <v>0</v>
      </c>
      <c r="Y70">
        <v>60</v>
      </c>
      <c r="Z70" s="4">
        <v>1</v>
      </c>
      <c r="AA70" s="4">
        <v>1.05833333333333</v>
      </c>
      <c r="AB70" s="4">
        <v>1</v>
      </c>
      <c r="AC70" s="4">
        <v>1.05833333333333</v>
      </c>
      <c r="AD70" s="6">
        <v>0</v>
      </c>
      <c r="AE70" s="5">
        <v>10160</v>
      </c>
      <c r="AF70">
        <v>0</v>
      </c>
      <c r="AG70"/>
      <c r="AH70"/>
      <c r="AI70"/>
      <c r="AJ70"/>
    </row>
    <row r="71" spans="1:36" x14ac:dyDescent="0.25">
      <c r="A71">
        <v>70</v>
      </c>
      <c r="B71" s="1">
        <v>46029</v>
      </c>
      <c r="C71" s="1">
        <v>46029</v>
      </c>
      <c r="D71" s="2">
        <v>0.5</v>
      </c>
      <c r="E71" s="2">
        <v>0.54166666666666663</v>
      </c>
      <c r="F71" s="3" t="s">
        <v>27</v>
      </c>
      <c r="G71" s="3" t="s">
        <v>151</v>
      </c>
      <c r="H71" s="3" t="s">
        <v>80</v>
      </c>
      <c r="I71" s="3" t="s">
        <v>45</v>
      </c>
      <c r="J71" s="3" t="s">
        <v>46</v>
      </c>
      <c r="K71" s="3" t="s">
        <v>47</v>
      </c>
      <c r="L71" s="3" t="s">
        <v>33</v>
      </c>
      <c r="M71">
        <v>120</v>
      </c>
      <c r="N71">
        <v>30</v>
      </c>
      <c r="O71">
        <v>60</v>
      </c>
      <c r="P71">
        <v>6</v>
      </c>
      <c r="Q71" s="3" t="s">
        <v>53</v>
      </c>
      <c r="R71">
        <v>97</v>
      </c>
      <c r="S71">
        <v>94</v>
      </c>
      <c r="T71">
        <v>3</v>
      </c>
      <c r="U71" s="3" t="s">
        <v>54</v>
      </c>
      <c r="V71" s="3" t="s">
        <v>55</v>
      </c>
      <c r="W71">
        <v>80</v>
      </c>
      <c r="X71">
        <v>240</v>
      </c>
      <c r="Y71">
        <v>54</v>
      </c>
      <c r="Z71" s="4">
        <v>0.9</v>
      </c>
      <c r="AA71" s="4">
        <v>0.89814814814814803</v>
      </c>
      <c r="AB71" s="4">
        <v>0.96907216494845405</v>
      </c>
      <c r="AC71" s="4">
        <v>0.78333333333333399</v>
      </c>
      <c r="AD71" s="6">
        <v>960</v>
      </c>
      <c r="AE71" s="5">
        <v>7520</v>
      </c>
      <c r="AF71">
        <v>1200</v>
      </c>
      <c r="AG71"/>
      <c r="AH71"/>
      <c r="AI71"/>
      <c r="AJ71"/>
    </row>
    <row r="72" spans="1:36" x14ac:dyDescent="0.25">
      <c r="A72">
        <v>71</v>
      </c>
      <c r="B72" s="1">
        <v>46029</v>
      </c>
      <c r="C72" s="1">
        <v>46029</v>
      </c>
      <c r="D72" s="2">
        <v>0.54166666666666663</v>
      </c>
      <c r="E72" s="2">
        <v>0.58333333333333337</v>
      </c>
      <c r="F72" s="3" t="s">
        <v>56</v>
      </c>
      <c r="G72" s="3" t="s">
        <v>152</v>
      </c>
      <c r="H72" s="3" t="s">
        <v>38</v>
      </c>
      <c r="I72" s="3" t="s">
        <v>59</v>
      </c>
      <c r="J72" s="3" t="s">
        <v>60</v>
      </c>
      <c r="K72" s="3" t="s">
        <v>61</v>
      </c>
      <c r="L72" s="3" t="s">
        <v>62</v>
      </c>
      <c r="M72">
        <v>80</v>
      </c>
      <c r="N72">
        <v>45</v>
      </c>
      <c r="O72">
        <v>60</v>
      </c>
      <c r="P72">
        <v>8</v>
      </c>
      <c r="Q72" s="3" t="s">
        <v>34</v>
      </c>
      <c r="R72">
        <v>71</v>
      </c>
      <c r="S72">
        <v>71</v>
      </c>
      <c r="T72">
        <v>0</v>
      </c>
      <c r="U72" s="3" t="s">
        <v>63</v>
      </c>
      <c r="V72" s="3" t="s">
        <v>64</v>
      </c>
      <c r="W72">
        <v>120</v>
      </c>
      <c r="X72">
        <v>0</v>
      </c>
      <c r="Y72">
        <v>52</v>
      </c>
      <c r="Z72" s="4">
        <v>0.86666666666666703</v>
      </c>
      <c r="AA72" s="4">
        <v>1.0240384615384599</v>
      </c>
      <c r="AB72" s="4">
        <v>1</v>
      </c>
      <c r="AC72" s="4">
        <v>0.88749999999999896</v>
      </c>
      <c r="AD72" s="6">
        <v>1280</v>
      </c>
      <c r="AE72" s="5">
        <v>8520</v>
      </c>
      <c r="AF72">
        <v>1280</v>
      </c>
      <c r="AG72"/>
      <c r="AH72"/>
      <c r="AI72"/>
      <c r="AJ72"/>
    </row>
    <row r="73" spans="1:36" x14ac:dyDescent="0.25">
      <c r="A73">
        <v>72</v>
      </c>
      <c r="B73" s="1">
        <v>46029</v>
      </c>
      <c r="C73" s="1">
        <v>46029</v>
      </c>
      <c r="D73" s="2">
        <v>0.58333333333333337</v>
      </c>
      <c r="E73" s="2">
        <v>0.625</v>
      </c>
      <c r="F73" s="3" t="s">
        <v>56</v>
      </c>
      <c r="G73" s="3" t="s">
        <v>153</v>
      </c>
      <c r="H73" s="3" t="s">
        <v>58</v>
      </c>
      <c r="I73" s="3" t="s">
        <v>59</v>
      </c>
      <c r="J73" s="3" t="s">
        <v>60</v>
      </c>
      <c r="K73" s="3" t="s">
        <v>61</v>
      </c>
      <c r="L73" s="3" t="s">
        <v>62</v>
      </c>
      <c r="M73">
        <v>80</v>
      </c>
      <c r="N73">
        <v>45</v>
      </c>
      <c r="O73">
        <v>60</v>
      </c>
      <c r="P73">
        <v>0</v>
      </c>
      <c r="Q73" s="3" t="s">
        <v>39</v>
      </c>
      <c r="R73">
        <v>81</v>
      </c>
      <c r="S73">
        <v>74</v>
      </c>
      <c r="T73">
        <v>7</v>
      </c>
      <c r="U73" s="3" t="s">
        <v>63</v>
      </c>
      <c r="V73" s="3" t="s">
        <v>64</v>
      </c>
      <c r="W73">
        <v>120</v>
      </c>
      <c r="X73">
        <v>840</v>
      </c>
      <c r="Y73">
        <v>60</v>
      </c>
      <c r="Z73" s="4">
        <v>1</v>
      </c>
      <c r="AA73" s="4">
        <v>1.0125</v>
      </c>
      <c r="AB73" s="4">
        <v>0.91358024691357997</v>
      </c>
      <c r="AC73" s="4">
        <v>0.92500000000000004</v>
      </c>
      <c r="AD73" s="6">
        <v>0</v>
      </c>
      <c r="AE73" s="5">
        <v>8880</v>
      </c>
      <c r="AF73">
        <v>840</v>
      </c>
      <c r="AG73"/>
      <c r="AH73"/>
      <c r="AI73"/>
      <c r="AJ73"/>
    </row>
    <row r="74" spans="1:36" x14ac:dyDescent="0.25">
      <c r="A74">
        <v>73</v>
      </c>
      <c r="B74" s="1">
        <v>46029</v>
      </c>
      <c r="C74" s="1">
        <v>46029</v>
      </c>
      <c r="D74" s="2">
        <v>0.625</v>
      </c>
      <c r="E74" s="2">
        <v>0.66666666666666663</v>
      </c>
      <c r="F74" s="3" t="s">
        <v>56</v>
      </c>
      <c r="G74" s="3" t="s">
        <v>154</v>
      </c>
      <c r="H74" s="3" t="s">
        <v>38</v>
      </c>
      <c r="I74" s="3" t="s">
        <v>59</v>
      </c>
      <c r="J74" s="3" t="s">
        <v>60</v>
      </c>
      <c r="K74" s="3" t="s">
        <v>61</v>
      </c>
      <c r="L74" s="3" t="s">
        <v>62</v>
      </c>
      <c r="M74">
        <v>80</v>
      </c>
      <c r="N74">
        <v>45</v>
      </c>
      <c r="O74">
        <v>60</v>
      </c>
      <c r="P74">
        <v>37</v>
      </c>
      <c r="Q74" s="3" t="s">
        <v>68</v>
      </c>
      <c r="R74">
        <v>53</v>
      </c>
      <c r="S74">
        <v>0</v>
      </c>
      <c r="T74">
        <v>53</v>
      </c>
      <c r="U74" s="3" t="s">
        <v>69</v>
      </c>
      <c r="V74" s="3" t="s">
        <v>70</v>
      </c>
      <c r="W74">
        <v>120</v>
      </c>
      <c r="X74">
        <v>6360</v>
      </c>
      <c r="Y74">
        <v>23</v>
      </c>
      <c r="Z74" s="4">
        <v>0.38333333333333303</v>
      </c>
      <c r="AA74" s="4">
        <v>1.72826086956522</v>
      </c>
      <c r="AB74" s="4">
        <v>0</v>
      </c>
      <c r="AC74" s="4">
        <v>0</v>
      </c>
      <c r="AD74" s="6">
        <v>5920</v>
      </c>
      <c r="AE74" s="5">
        <v>0</v>
      </c>
      <c r="AF74">
        <v>12280</v>
      </c>
      <c r="AG74"/>
      <c r="AH74"/>
      <c r="AI74"/>
      <c r="AJ74"/>
    </row>
    <row r="75" spans="1:36" x14ac:dyDescent="0.25">
      <c r="A75">
        <v>74</v>
      </c>
      <c r="B75" s="1">
        <v>46029</v>
      </c>
      <c r="C75" s="1">
        <v>46029</v>
      </c>
      <c r="D75" s="2">
        <v>0.66666666666666663</v>
      </c>
      <c r="E75" s="2">
        <v>0.70833333333333337</v>
      </c>
      <c r="F75" s="3" t="s">
        <v>56</v>
      </c>
      <c r="G75" s="3" t="s">
        <v>155</v>
      </c>
      <c r="H75" s="3" t="s">
        <v>80</v>
      </c>
      <c r="I75" s="3" t="s">
        <v>30</v>
      </c>
      <c r="J75" s="3" t="s">
        <v>31</v>
      </c>
      <c r="K75" s="3" t="s">
        <v>32</v>
      </c>
      <c r="L75" s="3" t="s">
        <v>33</v>
      </c>
      <c r="M75">
        <v>100</v>
      </c>
      <c r="N75">
        <v>36</v>
      </c>
      <c r="O75">
        <v>60</v>
      </c>
      <c r="P75">
        <v>7</v>
      </c>
      <c r="Q75" s="3" t="s">
        <v>34</v>
      </c>
      <c r="R75">
        <v>93</v>
      </c>
      <c r="S75">
        <v>91</v>
      </c>
      <c r="T75">
        <v>2</v>
      </c>
      <c r="U75" s="3" t="s">
        <v>72</v>
      </c>
      <c r="V75" s="3" t="s">
        <v>73</v>
      </c>
      <c r="W75">
        <v>50</v>
      </c>
      <c r="X75">
        <v>100</v>
      </c>
      <c r="Y75">
        <v>53</v>
      </c>
      <c r="Z75" s="4">
        <v>0.88333333333333297</v>
      </c>
      <c r="AA75" s="4">
        <v>1.0528301886792499</v>
      </c>
      <c r="AB75" s="4">
        <v>0.978494623655914</v>
      </c>
      <c r="AC75" s="4">
        <v>0.91000000000000403</v>
      </c>
      <c r="AD75" s="6">
        <v>583.33330000000001</v>
      </c>
      <c r="AE75" s="5">
        <v>4550</v>
      </c>
      <c r="AF75">
        <v>683.33330000000001</v>
      </c>
      <c r="AG75"/>
      <c r="AH75"/>
      <c r="AI75"/>
      <c r="AJ75"/>
    </row>
    <row r="76" spans="1:36" x14ac:dyDescent="0.25">
      <c r="A76">
        <v>75</v>
      </c>
      <c r="B76" s="1">
        <v>46029</v>
      </c>
      <c r="C76" s="1">
        <v>46029</v>
      </c>
      <c r="D76" s="2">
        <v>0.70833333333333337</v>
      </c>
      <c r="E76" s="2">
        <v>0.75</v>
      </c>
      <c r="F76" s="3" t="s">
        <v>56</v>
      </c>
      <c r="G76" s="3" t="s">
        <v>156</v>
      </c>
      <c r="H76" s="3" t="s">
        <v>67</v>
      </c>
      <c r="I76" s="3" t="s">
        <v>30</v>
      </c>
      <c r="J76" s="3" t="s">
        <v>31</v>
      </c>
      <c r="K76" s="3" t="s">
        <v>32</v>
      </c>
      <c r="L76" s="3" t="s">
        <v>33</v>
      </c>
      <c r="M76">
        <v>100</v>
      </c>
      <c r="N76">
        <v>36</v>
      </c>
      <c r="O76">
        <v>60</v>
      </c>
      <c r="P76">
        <v>0</v>
      </c>
      <c r="Q76" s="3" t="s">
        <v>39</v>
      </c>
      <c r="R76">
        <v>106</v>
      </c>
      <c r="S76">
        <v>105</v>
      </c>
      <c r="T76">
        <v>1</v>
      </c>
      <c r="U76" s="3" t="s">
        <v>75</v>
      </c>
      <c r="V76" s="3" t="s">
        <v>76</v>
      </c>
      <c r="W76">
        <v>50</v>
      </c>
      <c r="X76">
        <v>50</v>
      </c>
      <c r="Y76">
        <v>60</v>
      </c>
      <c r="Z76" s="4">
        <v>1</v>
      </c>
      <c r="AA76" s="4">
        <v>1.06</v>
      </c>
      <c r="AB76" s="4">
        <v>0.99056603773584895</v>
      </c>
      <c r="AC76" s="4">
        <v>1.05</v>
      </c>
      <c r="AD76" s="6">
        <v>0</v>
      </c>
      <c r="AE76" s="5">
        <v>5250</v>
      </c>
      <c r="AF76">
        <v>50</v>
      </c>
      <c r="AG76"/>
      <c r="AH76"/>
      <c r="AI76"/>
      <c r="AJ76"/>
    </row>
    <row r="77" spans="1:36" x14ac:dyDescent="0.25">
      <c r="A77">
        <v>76</v>
      </c>
      <c r="B77" s="1">
        <v>46029</v>
      </c>
      <c r="C77" s="1">
        <v>46029</v>
      </c>
      <c r="D77" s="2">
        <v>0.70833333333333337</v>
      </c>
      <c r="E77" s="2">
        <v>0.75</v>
      </c>
      <c r="F77" s="3" t="s">
        <v>56</v>
      </c>
      <c r="G77" s="3" t="s">
        <v>157</v>
      </c>
      <c r="H77" s="3" t="s">
        <v>29</v>
      </c>
      <c r="I77" s="3" t="s">
        <v>30</v>
      </c>
      <c r="J77" s="3" t="s">
        <v>31</v>
      </c>
      <c r="K77" s="3" t="s">
        <v>32</v>
      </c>
      <c r="L77" s="3" t="s">
        <v>33</v>
      </c>
      <c r="M77">
        <v>100</v>
      </c>
      <c r="N77">
        <v>36</v>
      </c>
      <c r="O77">
        <v>60</v>
      </c>
      <c r="P77">
        <v>2</v>
      </c>
      <c r="Q77" s="3" t="s">
        <v>78</v>
      </c>
      <c r="R77">
        <v>87</v>
      </c>
      <c r="S77">
        <v>87</v>
      </c>
      <c r="T77">
        <v>0</v>
      </c>
      <c r="U77" s="3" t="s">
        <v>75</v>
      </c>
      <c r="V77" s="3" t="s">
        <v>76</v>
      </c>
      <c r="W77">
        <v>50</v>
      </c>
      <c r="X77">
        <v>0</v>
      </c>
      <c r="Y77">
        <v>58</v>
      </c>
      <c r="Z77" s="4">
        <v>0.96666666666666701</v>
      </c>
      <c r="AA77" s="4">
        <v>0.9</v>
      </c>
      <c r="AB77" s="4">
        <v>1</v>
      </c>
      <c r="AC77" s="4">
        <v>0.87</v>
      </c>
      <c r="AD77" s="6">
        <v>166.66669999999999</v>
      </c>
      <c r="AE77" s="5">
        <v>4350</v>
      </c>
      <c r="AF77">
        <v>166.66669999999999</v>
      </c>
      <c r="AG77"/>
      <c r="AH77"/>
      <c r="AI77"/>
      <c r="AJ77"/>
    </row>
    <row r="78" spans="1:36" x14ac:dyDescent="0.25">
      <c r="A78">
        <v>77</v>
      </c>
      <c r="B78" s="1">
        <v>46030</v>
      </c>
      <c r="C78" s="1">
        <v>46030</v>
      </c>
      <c r="D78" s="2">
        <v>0.29166666666666669</v>
      </c>
      <c r="E78" s="2">
        <v>0.33333333333333331</v>
      </c>
      <c r="F78" s="3" t="s">
        <v>27</v>
      </c>
      <c r="G78" s="3" t="s">
        <v>158</v>
      </c>
      <c r="H78" s="3" t="s">
        <v>98</v>
      </c>
      <c r="I78" s="3" t="s">
        <v>45</v>
      </c>
      <c r="J78" s="3" t="s">
        <v>46</v>
      </c>
      <c r="K78" s="3" t="s">
        <v>47</v>
      </c>
      <c r="L78" s="3" t="s">
        <v>33</v>
      </c>
      <c r="M78">
        <v>120</v>
      </c>
      <c r="N78">
        <v>30</v>
      </c>
      <c r="O78">
        <v>60</v>
      </c>
      <c r="P78">
        <v>0</v>
      </c>
      <c r="Q78" s="3" t="s">
        <v>39</v>
      </c>
      <c r="R78">
        <v>115</v>
      </c>
      <c r="S78">
        <v>109</v>
      </c>
      <c r="T78">
        <v>6</v>
      </c>
      <c r="U78" s="3" t="s">
        <v>35</v>
      </c>
      <c r="V78" s="3" t="s">
        <v>36</v>
      </c>
      <c r="W78">
        <v>80</v>
      </c>
      <c r="X78">
        <v>480</v>
      </c>
      <c r="Y78">
        <v>60</v>
      </c>
      <c r="Z78" s="4">
        <v>1</v>
      </c>
      <c r="AA78" s="4">
        <v>0.95833333333333404</v>
      </c>
      <c r="AB78" s="4">
        <v>0.94782608695652204</v>
      </c>
      <c r="AC78" s="4">
        <v>0.90833333333333399</v>
      </c>
      <c r="AD78" s="6">
        <v>0</v>
      </c>
      <c r="AE78" s="5">
        <v>8720</v>
      </c>
      <c r="AF78">
        <v>480</v>
      </c>
      <c r="AG78"/>
      <c r="AH78"/>
      <c r="AI78"/>
      <c r="AJ78"/>
    </row>
    <row r="79" spans="1:36" x14ac:dyDescent="0.25">
      <c r="A79">
        <v>78</v>
      </c>
      <c r="B79" s="1">
        <v>46030</v>
      </c>
      <c r="C79" s="1">
        <v>46030</v>
      </c>
      <c r="D79" s="2">
        <v>0.33333333333333331</v>
      </c>
      <c r="E79" s="2">
        <v>0.375</v>
      </c>
      <c r="F79" s="3" t="s">
        <v>27</v>
      </c>
      <c r="G79" s="3" t="s">
        <v>159</v>
      </c>
      <c r="H79" s="3" t="s">
        <v>29</v>
      </c>
      <c r="I79" s="3" t="s">
        <v>45</v>
      </c>
      <c r="J79" s="3" t="s">
        <v>46</v>
      </c>
      <c r="K79" s="3" t="s">
        <v>47</v>
      </c>
      <c r="L79" s="3" t="s">
        <v>33</v>
      </c>
      <c r="M79">
        <v>120</v>
      </c>
      <c r="N79">
        <v>30</v>
      </c>
      <c r="O79">
        <v>60</v>
      </c>
      <c r="P79">
        <v>6</v>
      </c>
      <c r="Q79" s="3" t="s">
        <v>82</v>
      </c>
      <c r="R79">
        <v>0</v>
      </c>
      <c r="S79">
        <v>0</v>
      </c>
      <c r="T79">
        <v>0</v>
      </c>
      <c r="U79" s="3" t="s">
        <v>42</v>
      </c>
      <c r="V79" s="3" t="s">
        <v>43</v>
      </c>
      <c r="W79">
        <v>80</v>
      </c>
      <c r="X79">
        <v>0</v>
      </c>
      <c r="Y79">
        <v>54</v>
      </c>
      <c r="Z79" s="4">
        <v>0.9</v>
      </c>
      <c r="AA79" s="4">
        <v>0</v>
      </c>
      <c r="AB79" s="4">
        <v>0</v>
      </c>
      <c r="AC79" s="4">
        <v>0</v>
      </c>
      <c r="AD79" s="6">
        <v>960</v>
      </c>
      <c r="AE79" s="5">
        <v>0</v>
      </c>
      <c r="AF79">
        <v>960</v>
      </c>
      <c r="AG79"/>
      <c r="AH79"/>
      <c r="AI79"/>
      <c r="AJ79"/>
    </row>
    <row r="80" spans="1:36" x14ac:dyDescent="0.25">
      <c r="A80">
        <v>79</v>
      </c>
      <c r="B80" s="1">
        <v>46030</v>
      </c>
      <c r="C80" s="1">
        <v>46030</v>
      </c>
      <c r="D80" s="2">
        <v>0.375</v>
      </c>
      <c r="E80" s="2">
        <v>0.41666666666666669</v>
      </c>
      <c r="F80" s="3" t="s">
        <v>27</v>
      </c>
      <c r="G80" s="3" t="s">
        <v>160</v>
      </c>
      <c r="H80" s="3" t="s">
        <v>80</v>
      </c>
      <c r="I80" s="3" t="s">
        <v>45</v>
      </c>
      <c r="J80" s="3" t="s">
        <v>46</v>
      </c>
      <c r="K80" s="3" t="s">
        <v>47</v>
      </c>
      <c r="L80" s="3" t="s">
        <v>33</v>
      </c>
      <c r="M80">
        <v>120</v>
      </c>
      <c r="N80">
        <v>30</v>
      </c>
      <c r="O80">
        <v>60</v>
      </c>
      <c r="P80">
        <v>2</v>
      </c>
      <c r="Q80" s="3" t="s">
        <v>85</v>
      </c>
      <c r="R80">
        <v>121</v>
      </c>
      <c r="S80">
        <v>119</v>
      </c>
      <c r="T80">
        <v>2</v>
      </c>
      <c r="U80" s="3" t="s">
        <v>42</v>
      </c>
      <c r="V80" s="3" t="s">
        <v>43</v>
      </c>
      <c r="W80">
        <v>80</v>
      </c>
      <c r="X80">
        <v>160</v>
      </c>
      <c r="Y80">
        <v>58</v>
      </c>
      <c r="Z80" s="4">
        <v>0.96666666666666701</v>
      </c>
      <c r="AA80" s="4">
        <v>1.0431034482758601</v>
      </c>
      <c r="AB80" s="4">
        <v>0.98347107438016501</v>
      </c>
      <c r="AC80" s="4">
        <v>0.99166666666666503</v>
      </c>
      <c r="AD80" s="6">
        <v>320</v>
      </c>
      <c r="AE80" s="5">
        <v>9520</v>
      </c>
      <c r="AF80">
        <v>480</v>
      </c>
      <c r="AG80"/>
      <c r="AH80"/>
      <c r="AI80"/>
      <c r="AJ80"/>
    </row>
    <row r="81" spans="1:36" x14ac:dyDescent="0.25">
      <c r="A81">
        <v>80</v>
      </c>
      <c r="B81" s="1">
        <v>46030</v>
      </c>
      <c r="C81" s="1">
        <v>46030</v>
      </c>
      <c r="D81" s="2">
        <v>0.41666666666666669</v>
      </c>
      <c r="E81" s="2">
        <v>0.45833333333333331</v>
      </c>
      <c r="F81" s="3" t="s">
        <v>27</v>
      </c>
      <c r="G81" s="3" t="s">
        <v>161</v>
      </c>
      <c r="H81" s="3" t="s">
        <v>38</v>
      </c>
      <c r="I81" s="3" t="s">
        <v>59</v>
      </c>
      <c r="J81" s="3" t="s">
        <v>60</v>
      </c>
      <c r="K81" s="3" t="s">
        <v>61</v>
      </c>
      <c r="L81" s="3" t="s">
        <v>62</v>
      </c>
      <c r="M81">
        <v>80</v>
      </c>
      <c r="N81">
        <v>45</v>
      </c>
      <c r="O81">
        <v>60</v>
      </c>
      <c r="P81">
        <v>0</v>
      </c>
      <c r="Q81" s="3" t="s">
        <v>39</v>
      </c>
      <c r="R81">
        <v>73</v>
      </c>
      <c r="S81">
        <v>70</v>
      </c>
      <c r="T81">
        <v>3</v>
      </c>
      <c r="U81" s="3" t="s">
        <v>49</v>
      </c>
      <c r="V81" s="3" t="s">
        <v>50</v>
      </c>
      <c r="W81">
        <v>120</v>
      </c>
      <c r="X81">
        <v>360</v>
      </c>
      <c r="Y81">
        <v>60</v>
      </c>
      <c r="Z81" s="4">
        <v>1</v>
      </c>
      <c r="AA81" s="4">
        <v>0.91249999999999998</v>
      </c>
      <c r="AB81" s="4">
        <v>0.95890410958904104</v>
      </c>
      <c r="AC81" s="4">
        <v>0.875</v>
      </c>
      <c r="AD81" s="6">
        <v>0</v>
      </c>
      <c r="AE81" s="5">
        <v>8400</v>
      </c>
      <c r="AF81">
        <v>360</v>
      </c>
      <c r="AG81"/>
      <c r="AH81"/>
      <c r="AI81"/>
      <c r="AJ81"/>
    </row>
    <row r="82" spans="1:36" x14ac:dyDescent="0.25">
      <c r="A82">
        <v>81</v>
      </c>
      <c r="B82" s="1">
        <v>46030</v>
      </c>
      <c r="C82" s="1">
        <v>46030</v>
      </c>
      <c r="D82" s="2">
        <v>0.45833333333333331</v>
      </c>
      <c r="E82" s="2">
        <v>0.5</v>
      </c>
      <c r="F82" s="3" t="s">
        <v>27</v>
      </c>
      <c r="G82" s="3" t="s">
        <v>162</v>
      </c>
      <c r="H82" s="3" t="s">
        <v>67</v>
      </c>
      <c r="I82" s="3" t="s">
        <v>59</v>
      </c>
      <c r="J82" s="3" t="s">
        <v>60</v>
      </c>
      <c r="K82" s="3" t="s">
        <v>61</v>
      </c>
      <c r="L82" s="3" t="s">
        <v>62</v>
      </c>
      <c r="M82">
        <v>80</v>
      </c>
      <c r="N82">
        <v>45</v>
      </c>
      <c r="O82">
        <v>60</v>
      </c>
      <c r="P82">
        <v>19</v>
      </c>
      <c r="Q82" s="3" t="s">
        <v>88</v>
      </c>
      <c r="R82">
        <v>69</v>
      </c>
      <c r="S82">
        <v>69</v>
      </c>
      <c r="T82">
        <v>0</v>
      </c>
      <c r="U82" s="3" t="s">
        <v>54</v>
      </c>
      <c r="V82" s="3" t="s">
        <v>55</v>
      </c>
      <c r="W82">
        <v>120</v>
      </c>
      <c r="X82">
        <v>0</v>
      </c>
      <c r="Y82">
        <v>41</v>
      </c>
      <c r="Z82" s="4">
        <v>0.68333333333333302</v>
      </c>
      <c r="AA82" s="4">
        <v>1.26219512195122</v>
      </c>
      <c r="AB82" s="4">
        <v>1</v>
      </c>
      <c r="AC82" s="4">
        <v>0.86250000000000004</v>
      </c>
      <c r="AD82" s="6">
        <v>3040</v>
      </c>
      <c r="AE82" s="5">
        <v>8280</v>
      </c>
      <c r="AF82">
        <v>3040</v>
      </c>
      <c r="AG82"/>
      <c r="AH82"/>
      <c r="AI82"/>
      <c r="AJ82"/>
    </row>
    <row r="83" spans="1:36" x14ac:dyDescent="0.25">
      <c r="A83">
        <v>82</v>
      </c>
      <c r="B83" s="1">
        <v>46030</v>
      </c>
      <c r="C83" s="1">
        <v>46030</v>
      </c>
      <c r="D83" s="2">
        <v>0.5</v>
      </c>
      <c r="E83" s="2">
        <v>0.54166666666666663</v>
      </c>
      <c r="F83" s="3" t="s">
        <v>56</v>
      </c>
      <c r="G83" s="3" t="s">
        <v>163</v>
      </c>
      <c r="H83" s="3" t="s">
        <v>80</v>
      </c>
      <c r="I83" s="3" t="s">
        <v>30</v>
      </c>
      <c r="J83" s="3" t="s">
        <v>31</v>
      </c>
      <c r="K83" s="3" t="s">
        <v>32</v>
      </c>
      <c r="L83" s="3" t="s">
        <v>33</v>
      </c>
      <c r="M83">
        <v>100</v>
      </c>
      <c r="N83">
        <v>36</v>
      </c>
      <c r="O83">
        <v>60</v>
      </c>
      <c r="P83">
        <v>0</v>
      </c>
      <c r="Q83" s="3" t="s">
        <v>39</v>
      </c>
      <c r="R83">
        <v>90</v>
      </c>
      <c r="S83">
        <v>87</v>
      </c>
      <c r="T83">
        <v>3</v>
      </c>
      <c r="U83" s="3" t="s">
        <v>63</v>
      </c>
      <c r="V83" s="3" t="s">
        <v>64</v>
      </c>
      <c r="W83">
        <v>50</v>
      </c>
      <c r="X83">
        <v>150</v>
      </c>
      <c r="Y83">
        <v>60</v>
      </c>
      <c r="Z83" s="4">
        <v>1</v>
      </c>
      <c r="AA83" s="4">
        <v>0.9</v>
      </c>
      <c r="AB83" s="4">
        <v>0.96666666666666701</v>
      </c>
      <c r="AC83" s="4">
        <v>0.87</v>
      </c>
      <c r="AD83" s="6">
        <v>0</v>
      </c>
      <c r="AE83" s="5">
        <v>4350</v>
      </c>
      <c r="AF83">
        <v>150</v>
      </c>
      <c r="AG83"/>
      <c r="AH83"/>
      <c r="AI83"/>
      <c r="AJ83"/>
    </row>
    <row r="84" spans="1:36" x14ac:dyDescent="0.25">
      <c r="A84">
        <v>83</v>
      </c>
      <c r="B84" s="1">
        <v>46030</v>
      </c>
      <c r="C84" s="1">
        <v>46030</v>
      </c>
      <c r="D84" s="2">
        <v>0.54166666666666663</v>
      </c>
      <c r="E84" s="2">
        <v>0.58333333333333337</v>
      </c>
      <c r="F84" s="3" t="s">
        <v>56</v>
      </c>
      <c r="G84" s="3" t="s">
        <v>164</v>
      </c>
      <c r="H84" s="3" t="s">
        <v>80</v>
      </c>
      <c r="I84" s="3" t="s">
        <v>30</v>
      </c>
      <c r="J84" s="3" t="s">
        <v>31</v>
      </c>
      <c r="K84" s="3" t="s">
        <v>32</v>
      </c>
      <c r="L84" s="3" t="s">
        <v>33</v>
      </c>
      <c r="M84">
        <v>100</v>
      </c>
      <c r="N84">
        <v>36</v>
      </c>
      <c r="O84">
        <v>60</v>
      </c>
      <c r="P84">
        <v>8</v>
      </c>
      <c r="Q84" s="3" t="s">
        <v>92</v>
      </c>
      <c r="R84">
        <v>96</v>
      </c>
      <c r="S84">
        <v>96</v>
      </c>
      <c r="T84">
        <v>0</v>
      </c>
      <c r="U84" s="3" t="s">
        <v>69</v>
      </c>
      <c r="V84" s="3" t="s">
        <v>70</v>
      </c>
      <c r="W84">
        <v>50</v>
      </c>
      <c r="X84">
        <v>0</v>
      </c>
      <c r="Y84">
        <v>52</v>
      </c>
      <c r="Z84" s="4">
        <v>0.86666666666666703</v>
      </c>
      <c r="AA84" s="4">
        <v>1.10769230769231</v>
      </c>
      <c r="AB84" s="4">
        <v>1</v>
      </c>
      <c r="AC84" s="4">
        <v>0.96000000000000196</v>
      </c>
      <c r="AD84" s="6">
        <v>666.66669999999999</v>
      </c>
      <c r="AE84" s="5">
        <v>4800</v>
      </c>
      <c r="AF84">
        <v>666.66669999999999</v>
      </c>
      <c r="AG84"/>
      <c r="AH84"/>
      <c r="AI84"/>
      <c r="AJ84"/>
    </row>
    <row r="85" spans="1:36" x14ac:dyDescent="0.25">
      <c r="A85">
        <v>84</v>
      </c>
      <c r="B85" s="1">
        <v>46030</v>
      </c>
      <c r="C85" s="1">
        <v>46030</v>
      </c>
      <c r="D85" s="2">
        <v>0.58333333333333337</v>
      </c>
      <c r="E85" s="2">
        <v>0.625</v>
      </c>
      <c r="F85" s="3" t="s">
        <v>56</v>
      </c>
      <c r="G85" s="3" t="s">
        <v>165</v>
      </c>
      <c r="H85" s="3" t="s">
        <v>98</v>
      </c>
      <c r="I85" s="3" t="s">
        <v>45</v>
      </c>
      <c r="J85" s="3" t="s">
        <v>46</v>
      </c>
      <c r="K85" s="3" t="s">
        <v>47</v>
      </c>
      <c r="L85" s="3" t="s">
        <v>33</v>
      </c>
      <c r="M85">
        <v>120</v>
      </c>
      <c r="N85">
        <v>30</v>
      </c>
      <c r="O85">
        <v>60</v>
      </c>
      <c r="P85">
        <v>0</v>
      </c>
      <c r="Q85" s="3" t="s">
        <v>39</v>
      </c>
      <c r="R85">
        <v>131</v>
      </c>
      <c r="S85">
        <v>127</v>
      </c>
      <c r="T85">
        <v>4</v>
      </c>
      <c r="U85" s="3" t="s">
        <v>72</v>
      </c>
      <c r="V85" s="3" t="s">
        <v>73</v>
      </c>
      <c r="W85">
        <v>80</v>
      </c>
      <c r="X85">
        <v>320</v>
      </c>
      <c r="Y85">
        <v>60</v>
      </c>
      <c r="Z85" s="4">
        <v>1</v>
      </c>
      <c r="AA85" s="4">
        <v>1.0916666666666699</v>
      </c>
      <c r="AB85" s="4">
        <v>0.969465648854962</v>
      </c>
      <c r="AC85" s="4">
        <v>1.05833333333334</v>
      </c>
      <c r="AD85" s="6">
        <v>0</v>
      </c>
      <c r="AE85" s="5">
        <v>10160</v>
      </c>
      <c r="AF85">
        <v>320</v>
      </c>
      <c r="AG85"/>
      <c r="AH85"/>
      <c r="AI85"/>
      <c r="AJ85"/>
    </row>
    <row r="86" spans="1:36" x14ac:dyDescent="0.25">
      <c r="A86">
        <v>85</v>
      </c>
      <c r="B86" s="1">
        <v>46030</v>
      </c>
      <c r="C86" s="1">
        <v>46030</v>
      </c>
      <c r="D86" s="2">
        <v>0.625</v>
      </c>
      <c r="E86" s="2">
        <v>0.66666666666666663</v>
      </c>
      <c r="F86" s="3" t="s">
        <v>56</v>
      </c>
      <c r="G86" s="3" t="s">
        <v>166</v>
      </c>
      <c r="H86" s="3" t="s">
        <v>98</v>
      </c>
      <c r="I86" s="3" t="s">
        <v>45</v>
      </c>
      <c r="J86" s="3" t="s">
        <v>46</v>
      </c>
      <c r="K86" s="3" t="s">
        <v>47</v>
      </c>
      <c r="L86" s="3" t="s">
        <v>33</v>
      </c>
      <c r="M86">
        <v>120</v>
      </c>
      <c r="N86">
        <v>30</v>
      </c>
      <c r="O86">
        <v>60</v>
      </c>
      <c r="P86">
        <v>12</v>
      </c>
      <c r="Q86" s="3" t="s">
        <v>95</v>
      </c>
      <c r="R86">
        <v>86</v>
      </c>
      <c r="S86">
        <v>79</v>
      </c>
      <c r="T86">
        <v>7</v>
      </c>
      <c r="U86" s="3" t="s">
        <v>63</v>
      </c>
      <c r="V86" s="3" t="s">
        <v>64</v>
      </c>
      <c r="W86">
        <v>80</v>
      </c>
      <c r="X86">
        <v>560</v>
      </c>
      <c r="Y86">
        <v>48</v>
      </c>
      <c r="Z86" s="4">
        <v>0.8</v>
      </c>
      <c r="AA86" s="4">
        <v>0.89583333333333404</v>
      </c>
      <c r="AB86" s="4">
        <v>0.918604651162791</v>
      </c>
      <c r="AC86" s="4">
        <v>0.65833333333333399</v>
      </c>
      <c r="AD86" s="6">
        <v>1920</v>
      </c>
      <c r="AE86" s="5">
        <v>6320</v>
      </c>
      <c r="AF86">
        <v>2480</v>
      </c>
      <c r="AG86"/>
      <c r="AH86"/>
      <c r="AI86"/>
      <c r="AJ86"/>
    </row>
    <row r="87" spans="1:36" x14ac:dyDescent="0.25">
      <c r="A87">
        <v>86</v>
      </c>
      <c r="B87" s="1">
        <v>46030</v>
      </c>
      <c r="C87" s="1">
        <v>46030</v>
      </c>
      <c r="D87" s="2">
        <v>0.70833333333333337</v>
      </c>
      <c r="E87" s="2">
        <v>0.75</v>
      </c>
      <c r="F87" s="3" t="s">
        <v>96</v>
      </c>
      <c r="G87" s="3" t="s">
        <v>167</v>
      </c>
      <c r="H87" s="3" t="s">
        <v>98</v>
      </c>
      <c r="I87" s="3" t="s">
        <v>59</v>
      </c>
      <c r="J87" s="3" t="s">
        <v>60</v>
      </c>
      <c r="K87" s="3" t="s">
        <v>61</v>
      </c>
      <c r="L87" s="3" t="s">
        <v>62</v>
      </c>
      <c r="M87">
        <v>80</v>
      </c>
      <c r="N87">
        <v>45</v>
      </c>
      <c r="O87">
        <v>60</v>
      </c>
      <c r="P87">
        <v>0</v>
      </c>
      <c r="Q87" s="3" t="s">
        <v>39</v>
      </c>
      <c r="R87">
        <v>73</v>
      </c>
      <c r="S87">
        <v>73</v>
      </c>
      <c r="T87">
        <v>0</v>
      </c>
      <c r="U87" s="3" t="s">
        <v>99</v>
      </c>
      <c r="V87" s="3" t="s">
        <v>100</v>
      </c>
      <c r="W87">
        <v>120</v>
      </c>
      <c r="X87">
        <v>0</v>
      </c>
      <c r="Y87">
        <v>60</v>
      </c>
      <c r="Z87" s="4">
        <v>1</v>
      </c>
      <c r="AA87" s="4">
        <v>0.91249999999999998</v>
      </c>
      <c r="AB87" s="4">
        <v>1</v>
      </c>
      <c r="AC87" s="4">
        <v>0.91249999999999998</v>
      </c>
      <c r="AD87" s="6">
        <v>0</v>
      </c>
      <c r="AE87" s="5">
        <v>8760</v>
      </c>
      <c r="AF87">
        <v>0</v>
      </c>
      <c r="AG87"/>
      <c r="AH87"/>
      <c r="AI87"/>
      <c r="AJ87"/>
    </row>
    <row r="88" spans="1:36" x14ac:dyDescent="0.25">
      <c r="A88">
        <v>87</v>
      </c>
      <c r="B88" s="1">
        <v>46030</v>
      </c>
      <c r="C88" s="1">
        <v>46030</v>
      </c>
      <c r="D88" s="2">
        <v>0.75</v>
      </c>
      <c r="E88" s="2">
        <v>0.79166666666666663</v>
      </c>
      <c r="F88" s="3" t="s">
        <v>96</v>
      </c>
      <c r="G88" s="3" t="s">
        <v>168</v>
      </c>
      <c r="H88" s="3" t="s">
        <v>80</v>
      </c>
      <c r="I88" s="3" t="s">
        <v>59</v>
      </c>
      <c r="J88" s="3" t="s">
        <v>60</v>
      </c>
      <c r="K88" s="3" t="s">
        <v>61</v>
      </c>
      <c r="L88" s="3" t="s">
        <v>62</v>
      </c>
      <c r="M88">
        <v>80</v>
      </c>
      <c r="N88">
        <v>45</v>
      </c>
      <c r="O88">
        <v>60</v>
      </c>
      <c r="P88">
        <v>29</v>
      </c>
      <c r="Q88" s="3" t="s">
        <v>102</v>
      </c>
      <c r="R88">
        <v>60</v>
      </c>
      <c r="S88">
        <v>39</v>
      </c>
      <c r="T88">
        <v>21</v>
      </c>
      <c r="U88" s="3" t="s">
        <v>99</v>
      </c>
      <c r="V88" s="3" t="s">
        <v>100</v>
      </c>
      <c r="W88">
        <v>120</v>
      </c>
      <c r="X88">
        <v>2520</v>
      </c>
      <c r="Y88">
        <v>31</v>
      </c>
      <c r="Z88" s="4">
        <v>0.51666666666666705</v>
      </c>
      <c r="AA88" s="4">
        <v>1.45161290322581</v>
      </c>
      <c r="AB88" s="4">
        <v>0.65</v>
      </c>
      <c r="AC88" s="4">
        <v>0.48750000000000199</v>
      </c>
      <c r="AD88" s="6">
        <v>4640</v>
      </c>
      <c r="AE88" s="5">
        <v>4680</v>
      </c>
      <c r="AF88">
        <v>7160</v>
      </c>
      <c r="AG88"/>
      <c r="AH88"/>
      <c r="AI88"/>
      <c r="AJ88"/>
    </row>
    <row r="89" spans="1:36" x14ac:dyDescent="0.25">
      <c r="A89">
        <v>88</v>
      </c>
      <c r="B89" s="1">
        <v>46031</v>
      </c>
      <c r="C89" s="1">
        <v>46031</v>
      </c>
      <c r="D89" s="2">
        <v>0.29166666666666669</v>
      </c>
      <c r="E89" s="2">
        <v>0.33333333333333331</v>
      </c>
      <c r="F89" s="3" t="s">
        <v>27</v>
      </c>
      <c r="G89" s="3" t="s">
        <v>169</v>
      </c>
      <c r="H89" s="3" t="s">
        <v>84</v>
      </c>
      <c r="I89" s="3" t="s">
        <v>30</v>
      </c>
      <c r="J89" s="3" t="s">
        <v>31</v>
      </c>
      <c r="K89" s="3" t="s">
        <v>32</v>
      </c>
      <c r="L89" s="3" t="s">
        <v>33</v>
      </c>
      <c r="M89">
        <v>100</v>
      </c>
      <c r="N89">
        <v>36</v>
      </c>
      <c r="O89">
        <v>60</v>
      </c>
      <c r="P89">
        <v>6</v>
      </c>
      <c r="Q89" s="3" t="s">
        <v>104</v>
      </c>
      <c r="R89">
        <v>91</v>
      </c>
      <c r="S89">
        <v>89</v>
      </c>
      <c r="T89">
        <v>2</v>
      </c>
      <c r="U89" s="3" t="s">
        <v>35</v>
      </c>
      <c r="V89" s="3" t="s">
        <v>36</v>
      </c>
      <c r="W89">
        <v>50</v>
      </c>
      <c r="X89">
        <v>100</v>
      </c>
      <c r="Y89">
        <v>54</v>
      </c>
      <c r="Z89" s="4">
        <v>0.9</v>
      </c>
      <c r="AA89" s="4">
        <v>1.01111111111111</v>
      </c>
      <c r="AB89" s="4">
        <v>0.97802197802197799</v>
      </c>
      <c r="AC89" s="4">
        <v>0.88999999999999901</v>
      </c>
      <c r="AD89" s="6">
        <v>500</v>
      </c>
      <c r="AE89" s="5">
        <v>4450</v>
      </c>
      <c r="AF89">
        <v>600</v>
      </c>
      <c r="AG89"/>
      <c r="AH89"/>
      <c r="AI89"/>
      <c r="AJ89"/>
    </row>
    <row r="90" spans="1:36" x14ac:dyDescent="0.25">
      <c r="A90">
        <v>89</v>
      </c>
      <c r="B90" s="1">
        <v>46031</v>
      </c>
      <c r="C90" s="1">
        <v>46031</v>
      </c>
      <c r="D90" s="2">
        <v>0.33333333333333331</v>
      </c>
      <c r="E90" s="2">
        <v>0.375</v>
      </c>
      <c r="F90" s="3" t="s">
        <v>27</v>
      </c>
      <c r="G90" s="3" t="s">
        <v>170</v>
      </c>
      <c r="H90" s="3" t="s">
        <v>58</v>
      </c>
      <c r="I90" s="3" t="s">
        <v>30</v>
      </c>
      <c r="J90" s="3" t="s">
        <v>31</v>
      </c>
      <c r="K90" s="3" t="s">
        <v>32</v>
      </c>
      <c r="L90" s="3" t="s">
        <v>33</v>
      </c>
      <c r="M90">
        <v>100</v>
      </c>
      <c r="N90">
        <v>36</v>
      </c>
      <c r="O90">
        <v>60</v>
      </c>
      <c r="P90">
        <v>0</v>
      </c>
      <c r="Q90" s="3" t="s">
        <v>39</v>
      </c>
      <c r="R90">
        <v>101</v>
      </c>
      <c r="S90">
        <v>101</v>
      </c>
      <c r="T90">
        <v>0</v>
      </c>
      <c r="U90" s="3" t="s">
        <v>35</v>
      </c>
      <c r="V90" s="3" t="s">
        <v>36</v>
      </c>
      <c r="W90">
        <v>50</v>
      </c>
      <c r="X90">
        <v>0</v>
      </c>
      <c r="Y90">
        <v>60</v>
      </c>
      <c r="Z90" s="4">
        <v>1</v>
      </c>
      <c r="AA90" s="4">
        <v>1.01</v>
      </c>
      <c r="AB90" s="4">
        <v>1</v>
      </c>
      <c r="AC90" s="4">
        <v>1.01</v>
      </c>
      <c r="AD90" s="6">
        <v>0</v>
      </c>
      <c r="AE90" s="5">
        <v>5050</v>
      </c>
      <c r="AF90">
        <v>0</v>
      </c>
      <c r="AG90"/>
      <c r="AH90"/>
      <c r="AI90"/>
      <c r="AJ90"/>
    </row>
    <row r="91" spans="1:36" x14ac:dyDescent="0.25">
      <c r="A91">
        <v>90</v>
      </c>
      <c r="B91" s="1">
        <v>46031</v>
      </c>
      <c r="C91" s="1">
        <v>46031</v>
      </c>
      <c r="D91" s="2">
        <v>0.375</v>
      </c>
      <c r="E91" s="2">
        <v>0.41666666666666669</v>
      </c>
      <c r="F91" s="3" t="s">
        <v>27</v>
      </c>
      <c r="G91" s="3" t="s">
        <v>171</v>
      </c>
      <c r="H91" s="3" t="s">
        <v>117</v>
      </c>
      <c r="I91" s="3" t="s">
        <v>30</v>
      </c>
      <c r="J91" s="3" t="s">
        <v>31</v>
      </c>
      <c r="K91" s="3" t="s">
        <v>32</v>
      </c>
      <c r="L91" s="3" t="s">
        <v>33</v>
      </c>
      <c r="M91">
        <v>100</v>
      </c>
      <c r="N91">
        <v>36</v>
      </c>
      <c r="O91">
        <v>60</v>
      </c>
      <c r="P91">
        <v>9</v>
      </c>
      <c r="Q91" s="3" t="s">
        <v>34</v>
      </c>
      <c r="R91">
        <v>86</v>
      </c>
      <c r="S91">
        <v>84</v>
      </c>
      <c r="T91">
        <v>2</v>
      </c>
      <c r="U91" s="3" t="s">
        <v>35</v>
      </c>
      <c r="V91" s="3" t="s">
        <v>36</v>
      </c>
      <c r="W91">
        <v>50</v>
      </c>
      <c r="X91">
        <v>100</v>
      </c>
      <c r="Y91">
        <v>51</v>
      </c>
      <c r="Z91" s="4">
        <v>0.85</v>
      </c>
      <c r="AA91" s="4">
        <v>1.01176470588235</v>
      </c>
      <c r="AB91" s="4">
        <v>0.97674418604651203</v>
      </c>
      <c r="AC91" s="4">
        <v>0.83999999999999797</v>
      </c>
      <c r="AD91" s="6">
        <v>750</v>
      </c>
      <c r="AE91" s="5">
        <v>4200</v>
      </c>
      <c r="AF91">
        <v>850</v>
      </c>
      <c r="AG91"/>
      <c r="AH91"/>
      <c r="AI91"/>
      <c r="AJ91"/>
    </row>
    <row r="92" spans="1:36" x14ac:dyDescent="0.25">
      <c r="A92">
        <v>91</v>
      </c>
      <c r="B92" s="1">
        <v>46031</v>
      </c>
      <c r="C92" s="1">
        <v>46031</v>
      </c>
      <c r="D92" s="2">
        <v>0.41666666666666669</v>
      </c>
      <c r="E92" s="2">
        <v>0.45833333333333331</v>
      </c>
      <c r="F92" s="3" t="s">
        <v>27</v>
      </c>
      <c r="G92" s="3" t="s">
        <v>172</v>
      </c>
      <c r="H92" s="3" t="s">
        <v>29</v>
      </c>
      <c r="I92" s="3" t="s">
        <v>30</v>
      </c>
      <c r="J92" s="3" t="s">
        <v>31</v>
      </c>
      <c r="K92" s="3" t="s">
        <v>32</v>
      </c>
      <c r="L92" s="3" t="s">
        <v>33</v>
      </c>
      <c r="M92">
        <v>100</v>
      </c>
      <c r="N92">
        <v>36</v>
      </c>
      <c r="O92">
        <v>60</v>
      </c>
      <c r="P92">
        <v>14</v>
      </c>
      <c r="Q92" s="3" t="s">
        <v>41</v>
      </c>
      <c r="R92">
        <v>77</v>
      </c>
      <c r="S92">
        <v>71</v>
      </c>
      <c r="T92">
        <v>6</v>
      </c>
      <c r="U92" s="3" t="s">
        <v>42</v>
      </c>
      <c r="V92" s="3" t="s">
        <v>43</v>
      </c>
      <c r="W92">
        <v>50</v>
      </c>
      <c r="X92">
        <v>300</v>
      </c>
      <c r="Y92">
        <v>46</v>
      </c>
      <c r="Z92" s="4">
        <v>0.76666666666666705</v>
      </c>
      <c r="AA92" s="4">
        <v>1.00434782608696</v>
      </c>
      <c r="AB92" s="4">
        <v>0.92207792207792205</v>
      </c>
      <c r="AC92" s="4">
        <v>0.71000000000000296</v>
      </c>
      <c r="AD92" s="6">
        <v>1166.6667</v>
      </c>
      <c r="AE92" s="5">
        <v>3550</v>
      </c>
      <c r="AF92">
        <v>1466.6667</v>
      </c>
      <c r="AG92"/>
      <c r="AH92"/>
      <c r="AI92"/>
      <c r="AJ92"/>
    </row>
    <row r="93" spans="1:36" x14ac:dyDescent="0.25">
      <c r="A93">
        <v>92</v>
      </c>
      <c r="B93" s="1">
        <v>46031</v>
      </c>
      <c r="C93" s="1">
        <v>46031</v>
      </c>
      <c r="D93" s="2">
        <v>0.45833333333333331</v>
      </c>
      <c r="E93" s="2">
        <v>0.5</v>
      </c>
      <c r="F93" s="3" t="s">
        <v>27</v>
      </c>
      <c r="G93" s="3" t="s">
        <v>173</v>
      </c>
      <c r="H93" s="3" t="s">
        <v>67</v>
      </c>
      <c r="I93" s="3" t="s">
        <v>45</v>
      </c>
      <c r="J93" s="3" t="s">
        <v>46</v>
      </c>
      <c r="K93" s="3" t="s">
        <v>47</v>
      </c>
      <c r="L93" s="3" t="s">
        <v>33</v>
      </c>
      <c r="M93">
        <v>120</v>
      </c>
      <c r="N93">
        <v>30</v>
      </c>
      <c r="O93">
        <v>60</v>
      </c>
      <c r="P93">
        <v>1</v>
      </c>
      <c r="Q93" s="3" t="s">
        <v>48</v>
      </c>
      <c r="R93">
        <v>103</v>
      </c>
      <c r="S93">
        <v>95</v>
      </c>
      <c r="T93">
        <v>8</v>
      </c>
      <c r="U93" s="3" t="s">
        <v>49</v>
      </c>
      <c r="V93" s="3" t="s">
        <v>50</v>
      </c>
      <c r="W93">
        <v>80</v>
      </c>
      <c r="X93">
        <v>640</v>
      </c>
      <c r="Y93">
        <v>59</v>
      </c>
      <c r="Z93" s="4">
        <v>0.98333333333333295</v>
      </c>
      <c r="AA93" s="4">
        <v>0.87288135593220395</v>
      </c>
      <c r="AB93" s="4">
        <v>0.92233009708737901</v>
      </c>
      <c r="AC93" s="4">
        <v>0.79166666666666696</v>
      </c>
      <c r="AD93" s="6">
        <v>160</v>
      </c>
      <c r="AE93" s="5">
        <v>7600</v>
      </c>
      <c r="AF93">
        <v>800</v>
      </c>
      <c r="AG93"/>
      <c r="AH93"/>
      <c r="AI93"/>
      <c r="AJ93"/>
    </row>
    <row r="94" spans="1:36" x14ac:dyDescent="0.25">
      <c r="A94">
        <v>93</v>
      </c>
      <c r="B94" s="1">
        <v>46031</v>
      </c>
      <c r="C94" s="1">
        <v>46031</v>
      </c>
      <c r="D94" s="2">
        <v>0.5</v>
      </c>
      <c r="E94" s="2">
        <v>0.54166666666666663</v>
      </c>
      <c r="F94" s="3" t="s">
        <v>56</v>
      </c>
      <c r="G94" s="3" t="s">
        <v>174</v>
      </c>
      <c r="H94" s="3" t="s">
        <v>117</v>
      </c>
      <c r="I94" s="3" t="s">
        <v>59</v>
      </c>
      <c r="J94" s="3" t="s">
        <v>60</v>
      </c>
      <c r="K94" s="3" t="s">
        <v>61</v>
      </c>
      <c r="L94" s="3" t="s">
        <v>62</v>
      </c>
      <c r="M94">
        <v>80</v>
      </c>
      <c r="N94">
        <v>45</v>
      </c>
      <c r="O94">
        <v>60</v>
      </c>
      <c r="P94">
        <v>9</v>
      </c>
      <c r="Q94" s="3" t="s">
        <v>34</v>
      </c>
      <c r="R94">
        <v>82</v>
      </c>
      <c r="S94">
        <v>82</v>
      </c>
      <c r="T94">
        <v>0</v>
      </c>
      <c r="U94" s="3" t="s">
        <v>63</v>
      </c>
      <c r="V94" s="3" t="s">
        <v>64</v>
      </c>
      <c r="W94">
        <v>120</v>
      </c>
      <c r="X94">
        <v>0</v>
      </c>
      <c r="Y94">
        <v>51</v>
      </c>
      <c r="Z94" s="4">
        <v>0.85</v>
      </c>
      <c r="AA94" s="4">
        <v>1.20588235294118</v>
      </c>
      <c r="AB94" s="4">
        <v>1</v>
      </c>
      <c r="AC94" s="4">
        <v>1.0249999999999999</v>
      </c>
      <c r="AD94" s="6">
        <v>1440</v>
      </c>
      <c r="AE94" s="5">
        <v>9840</v>
      </c>
      <c r="AF94">
        <v>1440</v>
      </c>
      <c r="AG94"/>
      <c r="AH94"/>
      <c r="AI94"/>
      <c r="AJ94"/>
    </row>
    <row r="95" spans="1:36" x14ac:dyDescent="0.25">
      <c r="A95">
        <v>94</v>
      </c>
      <c r="B95" s="1">
        <v>46031</v>
      </c>
      <c r="C95" s="1">
        <v>46031</v>
      </c>
      <c r="D95" s="2">
        <v>0.54166666666666663</v>
      </c>
      <c r="E95" s="2">
        <v>0.58333333333333337</v>
      </c>
      <c r="F95" s="3" t="s">
        <v>56</v>
      </c>
      <c r="G95" s="3" t="s">
        <v>175</v>
      </c>
      <c r="H95" s="3" t="s">
        <v>38</v>
      </c>
      <c r="I95" s="3" t="s">
        <v>59</v>
      </c>
      <c r="J95" s="3" t="s">
        <v>60</v>
      </c>
      <c r="K95" s="3" t="s">
        <v>61</v>
      </c>
      <c r="L95" s="3" t="s">
        <v>62</v>
      </c>
      <c r="M95">
        <v>80</v>
      </c>
      <c r="N95">
        <v>45</v>
      </c>
      <c r="O95">
        <v>60</v>
      </c>
      <c r="P95">
        <v>32</v>
      </c>
      <c r="Q95" s="3" t="s">
        <v>68</v>
      </c>
      <c r="R95">
        <v>50</v>
      </c>
      <c r="S95">
        <v>33</v>
      </c>
      <c r="T95">
        <v>17</v>
      </c>
      <c r="U95" s="3" t="s">
        <v>69</v>
      </c>
      <c r="V95" s="3" t="s">
        <v>70</v>
      </c>
      <c r="W95">
        <v>120</v>
      </c>
      <c r="X95">
        <v>2040</v>
      </c>
      <c r="Y95">
        <v>28</v>
      </c>
      <c r="Z95" s="4">
        <v>0.46666666666666701</v>
      </c>
      <c r="AA95" s="4">
        <v>1.33928571428571</v>
      </c>
      <c r="AB95" s="4">
        <v>0.66</v>
      </c>
      <c r="AC95" s="4">
        <v>0.41249999999999898</v>
      </c>
      <c r="AD95" s="6">
        <v>5120</v>
      </c>
      <c r="AE95" s="5">
        <v>3960</v>
      </c>
      <c r="AF95">
        <v>7160</v>
      </c>
      <c r="AG95"/>
      <c r="AH95"/>
      <c r="AI95"/>
      <c r="AJ95"/>
    </row>
    <row r="96" spans="1:36" x14ac:dyDescent="0.25">
      <c r="A96">
        <v>95</v>
      </c>
      <c r="B96" s="1">
        <v>46031</v>
      </c>
      <c r="C96" s="1">
        <v>46031</v>
      </c>
      <c r="D96" s="2">
        <v>0.58333333333333337</v>
      </c>
      <c r="E96" s="2">
        <v>0.625</v>
      </c>
      <c r="F96" s="3" t="s">
        <v>56</v>
      </c>
      <c r="G96" s="3" t="s">
        <v>176</v>
      </c>
      <c r="H96" s="3" t="s">
        <v>38</v>
      </c>
      <c r="I96" s="3" t="s">
        <v>30</v>
      </c>
      <c r="J96" s="3" t="s">
        <v>31</v>
      </c>
      <c r="K96" s="3" t="s">
        <v>32</v>
      </c>
      <c r="L96" s="3" t="s">
        <v>33</v>
      </c>
      <c r="M96">
        <v>100</v>
      </c>
      <c r="N96">
        <v>36</v>
      </c>
      <c r="O96">
        <v>60</v>
      </c>
      <c r="P96">
        <v>9</v>
      </c>
      <c r="Q96" s="3" t="s">
        <v>34</v>
      </c>
      <c r="R96">
        <v>87</v>
      </c>
      <c r="S96">
        <v>84</v>
      </c>
      <c r="T96">
        <v>3</v>
      </c>
      <c r="U96" s="3" t="s">
        <v>72</v>
      </c>
      <c r="V96" s="3" t="s">
        <v>73</v>
      </c>
      <c r="W96">
        <v>50</v>
      </c>
      <c r="X96">
        <v>150</v>
      </c>
      <c r="Y96">
        <v>51</v>
      </c>
      <c r="Z96" s="4">
        <v>0.85</v>
      </c>
      <c r="AA96" s="4">
        <v>1.02352941176471</v>
      </c>
      <c r="AB96" s="4">
        <v>0.96551724137931005</v>
      </c>
      <c r="AC96" s="4">
        <v>0.84000000000000297</v>
      </c>
      <c r="AD96" s="6">
        <v>750</v>
      </c>
      <c r="AE96" s="5">
        <v>4200</v>
      </c>
      <c r="AF96">
        <v>900</v>
      </c>
      <c r="AG96"/>
      <c r="AH96"/>
      <c r="AI96"/>
      <c r="AJ96"/>
    </row>
    <row r="97" spans="1:36" x14ac:dyDescent="0.25">
      <c r="A97">
        <v>96</v>
      </c>
      <c r="B97" s="1">
        <v>46031</v>
      </c>
      <c r="C97" s="1">
        <v>46031</v>
      </c>
      <c r="D97" s="2">
        <v>0.625</v>
      </c>
      <c r="E97" s="2">
        <v>0.66666666666666663</v>
      </c>
      <c r="F97" s="3" t="s">
        <v>56</v>
      </c>
      <c r="G97" s="3" t="s">
        <v>177</v>
      </c>
      <c r="H97" s="3" t="s">
        <v>58</v>
      </c>
      <c r="I97" s="3" t="s">
        <v>30</v>
      </c>
      <c r="J97" s="3" t="s">
        <v>31</v>
      </c>
      <c r="K97" s="3" t="s">
        <v>32</v>
      </c>
      <c r="L97" s="3" t="s">
        <v>33</v>
      </c>
      <c r="M97">
        <v>100</v>
      </c>
      <c r="N97">
        <v>36</v>
      </c>
      <c r="O97">
        <v>60</v>
      </c>
      <c r="P97">
        <v>3</v>
      </c>
      <c r="Q97" s="3" t="s">
        <v>78</v>
      </c>
      <c r="R97">
        <v>87</v>
      </c>
      <c r="S97">
        <v>87</v>
      </c>
      <c r="T97">
        <v>0</v>
      </c>
      <c r="U97" s="3" t="s">
        <v>75</v>
      </c>
      <c r="V97" s="3" t="s">
        <v>76</v>
      </c>
      <c r="W97">
        <v>50</v>
      </c>
      <c r="X97">
        <v>0</v>
      </c>
      <c r="Y97">
        <v>57</v>
      </c>
      <c r="Z97" s="4">
        <v>0.95</v>
      </c>
      <c r="AA97" s="4">
        <v>0.91578947368421004</v>
      </c>
      <c r="AB97" s="4">
        <v>1</v>
      </c>
      <c r="AC97" s="4">
        <v>0.87</v>
      </c>
      <c r="AD97" s="6">
        <v>250</v>
      </c>
      <c r="AE97" s="5">
        <v>4350</v>
      </c>
      <c r="AF97">
        <v>250</v>
      </c>
      <c r="AG97"/>
      <c r="AH97"/>
      <c r="AI97"/>
      <c r="AJ97"/>
    </row>
    <row r="98" spans="1:36" x14ac:dyDescent="0.25">
      <c r="A98">
        <v>97</v>
      </c>
      <c r="B98" s="1">
        <v>46032</v>
      </c>
      <c r="C98" s="1">
        <v>46032</v>
      </c>
      <c r="D98" s="2">
        <v>0.29166666666666669</v>
      </c>
      <c r="E98" s="2">
        <v>0.33333333333333331</v>
      </c>
      <c r="F98" s="3" t="s">
        <v>27</v>
      </c>
      <c r="G98" s="3" t="s">
        <v>178</v>
      </c>
      <c r="H98" s="3" t="s">
        <v>80</v>
      </c>
      <c r="I98" s="3" t="s">
        <v>30</v>
      </c>
      <c r="J98" s="3" t="s">
        <v>31</v>
      </c>
      <c r="K98" s="3" t="s">
        <v>32</v>
      </c>
      <c r="L98" s="3" t="s">
        <v>33</v>
      </c>
      <c r="M98">
        <v>100</v>
      </c>
      <c r="N98">
        <v>36</v>
      </c>
      <c r="O98">
        <v>60</v>
      </c>
      <c r="P98">
        <v>6</v>
      </c>
      <c r="Q98" s="3" t="s">
        <v>34</v>
      </c>
      <c r="R98">
        <v>95</v>
      </c>
      <c r="S98">
        <v>93</v>
      </c>
      <c r="T98">
        <v>2</v>
      </c>
      <c r="U98" s="3" t="s">
        <v>35</v>
      </c>
      <c r="V98" s="3" t="s">
        <v>36</v>
      </c>
      <c r="W98">
        <v>50</v>
      </c>
      <c r="X98">
        <v>100</v>
      </c>
      <c r="Y98">
        <v>54</v>
      </c>
      <c r="Z98" s="4">
        <v>0.9</v>
      </c>
      <c r="AA98" s="4">
        <v>1.05555555555556</v>
      </c>
      <c r="AB98" s="4">
        <v>0.97894736842105301</v>
      </c>
      <c r="AC98" s="4">
        <v>0.93000000000000405</v>
      </c>
      <c r="AD98" s="6">
        <v>500</v>
      </c>
      <c r="AE98" s="5">
        <v>4650</v>
      </c>
      <c r="AF98">
        <v>600</v>
      </c>
      <c r="AG98"/>
      <c r="AH98"/>
      <c r="AI98"/>
      <c r="AJ98"/>
    </row>
    <row r="99" spans="1:36" x14ac:dyDescent="0.25">
      <c r="A99">
        <v>98</v>
      </c>
      <c r="B99" s="1">
        <v>46032</v>
      </c>
      <c r="C99" s="1">
        <v>46032</v>
      </c>
      <c r="D99" s="2">
        <v>0.33333333333333331</v>
      </c>
      <c r="E99" s="2">
        <v>0.375</v>
      </c>
      <c r="F99" s="3" t="s">
        <v>27</v>
      </c>
      <c r="G99" s="3" t="s">
        <v>179</v>
      </c>
      <c r="H99" s="3" t="s">
        <v>98</v>
      </c>
      <c r="I99" s="3" t="s">
        <v>30</v>
      </c>
      <c r="J99" s="3" t="s">
        <v>31</v>
      </c>
      <c r="K99" s="3" t="s">
        <v>32</v>
      </c>
      <c r="L99" s="3" t="s">
        <v>33</v>
      </c>
      <c r="M99">
        <v>100</v>
      </c>
      <c r="N99">
        <v>36</v>
      </c>
      <c r="O99">
        <v>60</v>
      </c>
      <c r="P99">
        <v>0</v>
      </c>
      <c r="Q99" s="3" t="s">
        <v>39</v>
      </c>
      <c r="R99">
        <v>100</v>
      </c>
      <c r="S99">
        <v>99</v>
      </c>
      <c r="T99">
        <v>1</v>
      </c>
      <c r="U99" s="3" t="s">
        <v>35</v>
      </c>
      <c r="V99" s="3" t="s">
        <v>36</v>
      </c>
      <c r="W99">
        <v>50</v>
      </c>
      <c r="X99">
        <v>50</v>
      </c>
      <c r="Y99">
        <v>60</v>
      </c>
      <c r="Z99" s="4">
        <v>1</v>
      </c>
      <c r="AA99" s="4">
        <v>1</v>
      </c>
      <c r="AB99" s="4">
        <v>0.99</v>
      </c>
      <c r="AC99" s="4">
        <v>0.99</v>
      </c>
      <c r="AD99" s="6">
        <v>0</v>
      </c>
      <c r="AE99" s="5">
        <v>4950</v>
      </c>
      <c r="AF99">
        <v>50</v>
      </c>
      <c r="AG99"/>
      <c r="AH99"/>
      <c r="AI99"/>
      <c r="AJ99"/>
    </row>
    <row r="100" spans="1:36" x14ac:dyDescent="0.25">
      <c r="A100">
        <v>99</v>
      </c>
      <c r="B100" s="1">
        <v>46032</v>
      </c>
      <c r="C100" s="1">
        <v>46032</v>
      </c>
      <c r="D100" s="2">
        <v>0.375</v>
      </c>
      <c r="E100" s="2">
        <v>0.41666666666666669</v>
      </c>
      <c r="F100" s="3" t="s">
        <v>27</v>
      </c>
      <c r="G100" s="3" t="s">
        <v>180</v>
      </c>
      <c r="H100" s="3" t="s">
        <v>67</v>
      </c>
      <c r="I100" s="3" t="s">
        <v>30</v>
      </c>
      <c r="J100" s="3" t="s">
        <v>31</v>
      </c>
      <c r="K100" s="3" t="s">
        <v>32</v>
      </c>
      <c r="L100" s="3" t="s">
        <v>33</v>
      </c>
      <c r="M100">
        <v>100</v>
      </c>
      <c r="N100">
        <v>36</v>
      </c>
      <c r="O100">
        <v>60</v>
      </c>
      <c r="P100">
        <v>16</v>
      </c>
      <c r="Q100" s="3" t="s">
        <v>41</v>
      </c>
      <c r="R100">
        <v>77</v>
      </c>
      <c r="S100">
        <v>72</v>
      </c>
      <c r="T100">
        <v>5</v>
      </c>
      <c r="U100" s="3" t="s">
        <v>42</v>
      </c>
      <c r="V100" s="3" t="s">
        <v>43</v>
      </c>
      <c r="W100">
        <v>50</v>
      </c>
      <c r="X100">
        <v>250</v>
      </c>
      <c r="Y100">
        <v>44</v>
      </c>
      <c r="Z100" s="4">
        <v>0.73333333333333295</v>
      </c>
      <c r="AA100" s="4">
        <v>1.05</v>
      </c>
      <c r="AB100" s="4">
        <v>0.93506493506493504</v>
      </c>
      <c r="AC100" s="4">
        <v>0.72</v>
      </c>
      <c r="AD100" s="6">
        <v>1333.3333</v>
      </c>
      <c r="AE100" s="5">
        <v>3600</v>
      </c>
      <c r="AF100">
        <v>1583.3333</v>
      </c>
      <c r="AG100"/>
      <c r="AH100"/>
      <c r="AI100"/>
      <c r="AJ100"/>
    </row>
    <row r="101" spans="1:36" x14ac:dyDescent="0.25">
      <c r="A101">
        <v>100</v>
      </c>
      <c r="B101" s="1">
        <v>46032</v>
      </c>
      <c r="C101" s="1">
        <v>46032</v>
      </c>
      <c r="D101" s="2">
        <v>0.41666666666666669</v>
      </c>
      <c r="E101" s="2">
        <v>0.45833333333333331</v>
      </c>
      <c r="F101" s="3" t="s">
        <v>27</v>
      </c>
      <c r="G101" s="3" t="s">
        <v>181</v>
      </c>
      <c r="H101" s="3" t="s">
        <v>80</v>
      </c>
      <c r="I101" s="3" t="s">
        <v>45</v>
      </c>
      <c r="J101" s="3" t="s">
        <v>46</v>
      </c>
      <c r="K101" s="3" t="s">
        <v>47</v>
      </c>
      <c r="L101" s="3" t="s">
        <v>33</v>
      </c>
      <c r="M101">
        <v>120</v>
      </c>
      <c r="N101">
        <v>30</v>
      </c>
      <c r="O101">
        <v>60</v>
      </c>
      <c r="P101">
        <v>1</v>
      </c>
      <c r="Q101" s="3" t="s">
        <v>48</v>
      </c>
      <c r="R101">
        <v>114</v>
      </c>
      <c r="S101">
        <v>110</v>
      </c>
      <c r="T101">
        <v>4</v>
      </c>
      <c r="U101" s="3" t="s">
        <v>49</v>
      </c>
      <c r="V101" s="3" t="s">
        <v>50</v>
      </c>
      <c r="W101">
        <v>80</v>
      </c>
      <c r="X101">
        <v>320</v>
      </c>
      <c r="Y101">
        <v>59</v>
      </c>
      <c r="Z101" s="4">
        <v>0.98333333333333295</v>
      </c>
      <c r="AA101" s="4">
        <v>0.96610169491525399</v>
      </c>
      <c r="AB101" s="4">
        <v>0.96491228070175405</v>
      </c>
      <c r="AC101" s="4">
        <v>0.91666666666666596</v>
      </c>
      <c r="AD101" s="6">
        <v>160</v>
      </c>
      <c r="AE101" s="5">
        <v>8800</v>
      </c>
      <c r="AF101">
        <v>480</v>
      </c>
      <c r="AG101"/>
      <c r="AH101"/>
      <c r="AI101"/>
      <c r="AJ101"/>
    </row>
    <row r="102" spans="1:36" x14ac:dyDescent="0.25">
      <c r="A102">
        <v>101</v>
      </c>
      <c r="B102" s="1">
        <v>46032</v>
      </c>
      <c r="C102" s="1">
        <v>46032</v>
      </c>
      <c r="D102" s="2">
        <v>0.45833333333333331</v>
      </c>
      <c r="E102" s="2">
        <v>0.5</v>
      </c>
      <c r="F102" s="3" t="s">
        <v>27</v>
      </c>
      <c r="G102" s="3" t="s">
        <v>35</v>
      </c>
      <c r="H102" s="3" t="s">
        <v>80</v>
      </c>
      <c r="I102" s="3" t="s">
        <v>45</v>
      </c>
      <c r="J102" s="3" t="s">
        <v>46</v>
      </c>
      <c r="K102" s="3" t="s">
        <v>47</v>
      </c>
      <c r="L102" s="3" t="s">
        <v>33</v>
      </c>
      <c r="M102">
        <v>120</v>
      </c>
      <c r="N102">
        <v>30</v>
      </c>
      <c r="O102">
        <v>60</v>
      </c>
      <c r="P102">
        <v>0</v>
      </c>
      <c r="Q102" s="3" t="s">
        <v>39</v>
      </c>
      <c r="R102">
        <v>112</v>
      </c>
      <c r="S102">
        <v>112</v>
      </c>
      <c r="T102">
        <v>0</v>
      </c>
      <c r="U102" s="3" t="s">
        <v>49</v>
      </c>
      <c r="V102" s="3" t="s">
        <v>50</v>
      </c>
      <c r="W102">
        <v>80</v>
      </c>
      <c r="X102">
        <v>0</v>
      </c>
      <c r="Y102">
        <v>60</v>
      </c>
      <c r="Z102" s="4">
        <v>1</v>
      </c>
      <c r="AA102" s="4">
        <v>0.93333333333333302</v>
      </c>
      <c r="AB102" s="4">
        <v>1</v>
      </c>
      <c r="AC102" s="4">
        <v>0.93333333333333302</v>
      </c>
      <c r="AD102" s="6">
        <v>0</v>
      </c>
      <c r="AE102" s="5">
        <v>8960</v>
      </c>
      <c r="AF102">
        <v>0</v>
      </c>
      <c r="AG102"/>
      <c r="AH102"/>
      <c r="AI102"/>
      <c r="AJ102"/>
    </row>
    <row r="103" spans="1:36" x14ac:dyDescent="0.25">
      <c r="A103">
        <v>102</v>
      </c>
      <c r="B103" s="1">
        <v>46032</v>
      </c>
      <c r="C103" s="1">
        <v>46032</v>
      </c>
      <c r="D103" s="2">
        <v>0.5</v>
      </c>
      <c r="E103" s="2">
        <v>0.54166666666666663</v>
      </c>
      <c r="F103" s="3" t="s">
        <v>27</v>
      </c>
      <c r="G103" s="3" t="s">
        <v>42</v>
      </c>
      <c r="H103" s="3" t="s">
        <v>38</v>
      </c>
      <c r="I103" s="3" t="s">
        <v>45</v>
      </c>
      <c r="J103" s="3" t="s">
        <v>46</v>
      </c>
      <c r="K103" s="3" t="s">
        <v>47</v>
      </c>
      <c r="L103" s="3" t="s">
        <v>33</v>
      </c>
      <c r="M103">
        <v>120</v>
      </c>
      <c r="N103">
        <v>30</v>
      </c>
      <c r="O103">
        <v>60</v>
      </c>
      <c r="P103">
        <v>4</v>
      </c>
      <c r="Q103" s="3" t="s">
        <v>53</v>
      </c>
      <c r="R103">
        <v>88</v>
      </c>
      <c r="S103">
        <v>83</v>
      </c>
      <c r="T103">
        <v>5</v>
      </c>
      <c r="U103" s="3" t="s">
        <v>54</v>
      </c>
      <c r="V103" s="3" t="s">
        <v>55</v>
      </c>
      <c r="W103">
        <v>80</v>
      </c>
      <c r="X103">
        <v>400</v>
      </c>
      <c r="Y103">
        <v>56</v>
      </c>
      <c r="Z103" s="4">
        <v>0.93333333333333302</v>
      </c>
      <c r="AA103" s="4">
        <v>0.78571428571428603</v>
      </c>
      <c r="AB103" s="4">
        <v>0.94318181818181801</v>
      </c>
      <c r="AC103" s="4">
        <v>0.69166666666666698</v>
      </c>
      <c r="AD103" s="6">
        <v>640</v>
      </c>
      <c r="AE103" s="5">
        <v>6640</v>
      </c>
      <c r="AF103">
        <v>1040</v>
      </c>
      <c r="AG103"/>
      <c r="AH103"/>
      <c r="AI103"/>
      <c r="AJ103"/>
    </row>
    <row r="104" spans="1:36" x14ac:dyDescent="0.25">
      <c r="A104">
        <v>103</v>
      </c>
      <c r="B104" s="1">
        <v>46032</v>
      </c>
      <c r="C104" s="1">
        <v>46032</v>
      </c>
      <c r="D104" s="2">
        <v>0.54166666666666663</v>
      </c>
      <c r="E104" s="2">
        <v>0.58333333333333337</v>
      </c>
      <c r="F104" s="3" t="s">
        <v>56</v>
      </c>
      <c r="G104" s="3" t="s">
        <v>49</v>
      </c>
      <c r="H104" s="3" t="s">
        <v>67</v>
      </c>
      <c r="I104" s="3" t="s">
        <v>59</v>
      </c>
      <c r="J104" s="3" t="s">
        <v>60</v>
      </c>
      <c r="K104" s="3" t="s">
        <v>61</v>
      </c>
      <c r="L104" s="3" t="s">
        <v>62</v>
      </c>
      <c r="M104">
        <v>80</v>
      </c>
      <c r="N104">
        <v>45</v>
      </c>
      <c r="O104">
        <v>60</v>
      </c>
      <c r="P104">
        <v>8</v>
      </c>
      <c r="Q104" s="3" t="s">
        <v>34</v>
      </c>
      <c r="R104">
        <v>68</v>
      </c>
      <c r="S104">
        <v>68</v>
      </c>
      <c r="T104">
        <v>0</v>
      </c>
      <c r="U104" s="3" t="s">
        <v>63</v>
      </c>
      <c r="V104" s="3" t="s">
        <v>64</v>
      </c>
      <c r="W104">
        <v>120</v>
      </c>
      <c r="X104">
        <v>0</v>
      </c>
      <c r="Y104">
        <v>52</v>
      </c>
      <c r="Z104" s="4">
        <v>0.86666666666666703</v>
      </c>
      <c r="AA104" s="4">
        <v>0.98076923076923095</v>
      </c>
      <c r="AB104" s="4">
        <v>1</v>
      </c>
      <c r="AC104" s="4">
        <v>0.85</v>
      </c>
      <c r="AD104" s="6">
        <v>1280</v>
      </c>
      <c r="AE104" s="5">
        <v>8160</v>
      </c>
      <c r="AF104">
        <v>1280</v>
      </c>
      <c r="AG104"/>
      <c r="AH104"/>
      <c r="AI104"/>
      <c r="AJ104"/>
    </row>
    <row r="105" spans="1:36" x14ac:dyDescent="0.25">
      <c r="A105">
        <v>104</v>
      </c>
      <c r="B105" s="1">
        <v>46032</v>
      </c>
      <c r="C105" s="1">
        <v>46032</v>
      </c>
      <c r="D105" s="2">
        <v>0.58333333333333337</v>
      </c>
      <c r="E105" s="2">
        <v>0.625</v>
      </c>
      <c r="F105" s="3" t="s">
        <v>56</v>
      </c>
      <c r="G105" s="3" t="s">
        <v>54</v>
      </c>
      <c r="H105" s="3" t="s">
        <v>58</v>
      </c>
      <c r="I105" s="3" t="s">
        <v>59</v>
      </c>
      <c r="J105" s="3" t="s">
        <v>60</v>
      </c>
      <c r="K105" s="3" t="s">
        <v>61</v>
      </c>
      <c r="L105" s="3" t="s">
        <v>62</v>
      </c>
      <c r="M105">
        <v>80</v>
      </c>
      <c r="N105">
        <v>45</v>
      </c>
      <c r="O105">
        <v>60</v>
      </c>
      <c r="P105">
        <v>0</v>
      </c>
      <c r="Q105" s="3" t="s">
        <v>39</v>
      </c>
      <c r="R105">
        <v>73</v>
      </c>
      <c r="S105">
        <v>65</v>
      </c>
      <c r="T105">
        <v>8</v>
      </c>
      <c r="U105" s="3" t="s">
        <v>63</v>
      </c>
      <c r="V105" s="3" t="s">
        <v>64</v>
      </c>
      <c r="W105">
        <v>120</v>
      </c>
      <c r="X105">
        <v>960</v>
      </c>
      <c r="Y105">
        <v>60</v>
      </c>
      <c r="Z105" s="4">
        <v>1</v>
      </c>
      <c r="AA105" s="4">
        <v>0.91249999999999998</v>
      </c>
      <c r="AB105" s="4">
        <v>0.89041095890411004</v>
      </c>
      <c r="AC105" s="4">
        <v>0.8125</v>
      </c>
      <c r="AD105" s="6">
        <v>0</v>
      </c>
      <c r="AE105" s="5">
        <v>7800</v>
      </c>
      <c r="AF105">
        <v>960</v>
      </c>
      <c r="AG105"/>
      <c r="AH105"/>
      <c r="AI105"/>
      <c r="AJ105"/>
    </row>
    <row r="106" spans="1:36" x14ac:dyDescent="0.25">
      <c r="A106">
        <v>105</v>
      </c>
      <c r="B106" s="1">
        <v>46032</v>
      </c>
      <c r="C106" s="1">
        <v>46032</v>
      </c>
      <c r="D106" s="2">
        <v>0.625</v>
      </c>
      <c r="E106" s="2">
        <v>0.66666666666666663</v>
      </c>
      <c r="F106" s="3" t="s">
        <v>56</v>
      </c>
      <c r="G106" s="3" t="s">
        <v>182</v>
      </c>
      <c r="H106" s="3" t="s">
        <v>91</v>
      </c>
      <c r="I106" s="3" t="s">
        <v>59</v>
      </c>
      <c r="J106" s="3" t="s">
        <v>60</v>
      </c>
      <c r="K106" s="3" t="s">
        <v>61</v>
      </c>
      <c r="L106" s="3" t="s">
        <v>62</v>
      </c>
      <c r="M106">
        <v>80</v>
      </c>
      <c r="N106">
        <v>45</v>
      </c>
      <c r="O106">
        <v>60</v>
      </c>
      <c r="P106">
        <v>42</v>
      </c>
      <c r="Q106" s="3" t="s">
        <v>68</v>
      </c>
      <c r="R106">
        <v>49</v>
      </c>
      <c r="S106">
        <v>0</v>
      </c>
      <c r="T106">
        <v>49</v>
      </c>
      <c r="U106" s="3" t="s">
        <v>69</v>
      </c>
      <c r="V106" s="3" t="s">
        <v>70</v>
      </c>
      <c r="W106">
        <v>120</v>
      </c>
      <c r="X106">
        <v>5880</v>
      </c>
      <c r="Y106">
        <v>18</v>
      </c>
      <c r="Z106" s="4">
        <v>0.3</v>
      </c>
      <c r="AA106" s="4">
        <v>2.0416666666666701</v>
      </c>
      <c r="AB106" s="4">
        <v>0</v>
      </c>
      <c r="AC106" s="4">
        <v>0</v>
      </c>
      <c r="AD106" s="6">
        <v>6720</v>
      </c>
      <c r="AE106" s="5">
        <v>0</v>
      </c>
      <c r="AF106">
        <v>12600</v>
      </c>
      <c r="AG106"/>
      <c r="AH106"/>
      <c r="AI106"/>
      <c r="AJ106"/>
    </row>
    <row r="107" spans="1:36" x14ac:dyDescent="0.25">
      <c r="A107">
        <v>106</v>
      </c>
      <c r="B107" s="1">
        <v>46032</v>
      </c>
      <c r="C107" s="1">
        <v>46032</v>
      </c>
      <c r="D107" s="2">
        <v>0.66666666666666663</v>
      </c>
      <c r="E107" s="2">
        <v>0.70833333333333337</v>
      </c>
      <c r="F107" s="3" t="s">
        <v>56</v>
      </c>
      <c r="G107" s="3" t="s">
        <v>183</v>
      </c>
      <c r="H107" s="3" t="s">
        <v>91</v>
      </c>
      <c r="I107" s="3" t="s">
        <v>30</v>
      </c>
      <c r="J107" s="3" t="s">
        <v>31</v>
      </c>
      <c r="K107" s="3" t="s">
        <v>32</v>
      </c>
      <c r="L107" s="3" t="s">
        <v>33</v>
      </c>
      <c r="M107">
        <v>100</v>
      </c>
      <c r="N107">
        <v>36</v>
      </c>
      <c r="O107">
        <v>60</v>
      </c>
      <c r="P107">
        <v>5</v>
      </c>
      <c r="Q107" s="3" t="s">
        <v>34</v>
      </c>
      <c r="R107">
        <v>99</v>
      </c>
      <c r="S107">
        <v>96</v>
      </c>
      <c r="T107">
        <v>3</v>
      </c>
      <c r="U107" s="3" t="s">
        <v>72</v>
      </c>
      <c r="V107" s="3" t="s">
        <v>73</v>
      </c>
      <c r="W107">
        <v>50</v>
      </c>
      <c r="X107">
        <v>150</v>
      </c>
      <c r="Y107">
        <v>55</v>
      </c>
      <c r="Z107" s="4">
        <v>0.91666666666666596</v>
      </c>
      <c r="AA107" s="4">
        <v>1.08</v>
      </c>
      <c r="AB107" s="4">
        <v>0.96969696969696995</v>
      </c>
      <c r="AC107" s="4">
        <v>0.96</v>
      </c>
      <c r="AD107" s="6">
        <v>416.66669999999999</v>
      </c>
      <c r="AE107" s="5">
        <v>4800</v>
      </c>
      <c r="AF107">
        <v>566.66669999999999</v>
      </c>
      <c r="AG107"/>
      <c r="AH107"/>
      <c r="AI107"/>
      <c r="AJ107"/>
    </row>
    <row r="108" spans="1:36" x14ac:dyDescent="0.25">
      <c r="A108">
        <v>107</v>
      </c>
      <c r="B108" s="1">
        <v>46032</v>
      </c>
      <c r="C108" s="1">
        <v>46032</v>
      </c>
      <c r="D108" s="2">
        <v>0.70833333333333337</v>
      </c>
      <c r="E108" s="2">
        <v>0.75</v>
      </c>
      <c r="F108" s="3" t="s">
        <v>56</v>
      </c>
      <c r="G108" s="3" t="s">
        <v>184</v>
      </c>
      <c r="H108" s="3" t="s">
        <v>80</v>
      </c>
      <c r="I108" s="3" t="s">
        <v>30</v>
      </c>
      <c r="J108" s="3" t="s">
        <v>31</v>
      </c>
      <c r="K108" s="3" t="s">
        <v>32</v>
      </c>
      <c r="L108" s="3" t="s">
        <v>33</v>
      </c>
      <c r="M108">
        <v>100</v>
      </c>
      <c r="N108">
        <v>36</v>
      </c>
      <c r="O108">
        <v>60</v>
      </c>
      <c r="P108">
        <v>0</v>
      </c>
      <c r="Q108" s="3" t="s">
        <v>39</v>
      </c>
      <c r="R108">
        <v>103</v>
      </c>
      <c r="S108">
        <v>102</v>
      </c>
      <c r="T108">
        <v>1</v>
      </c>
      <c r="U108" s="3" t="s">
        <v>75</v>
      </c>
      <c r="V108" s="3" t="s">
        <v>76</v>
      </c>
      <c r="W108">
        <v>50</v>
      </c>
      <c r="X108">
        <v>50</v>
      </c>
      <c r="Y108">
        <v>60</v>
      </c>
      <c r="Z108" s="4">
        <v>1</v>
      </c>
      <c r="AA108" s="4">
        <v>1.03</v>
      </c>
      <c r="AB108" s="4">
        <v>0.990291262135922</v>
      </c>
      <c r="AC108" s="4">
        <v>1.02</v>
      </c>
      <c r="AD108" s="6">
        <v>0</v>
      </c>
      <c r="AE108" s="5">
        <v>5100</v>
      </c>
      <c r="AF108">
        <v>50</v>
      </c>
      <c r="AG108"/>
      <c r="AH108"/>
      <c r="AI108"/>
      <c r="AJ108"/>
    </row>
    <row r="109" spans="1:36" x14ac:dyDescent="0.25">
      <c r="A109">
        <v>108</v>
      </c>
      <c r="B109" s="1">
        <v>46032</v>
      </c>
      <c r="C109" s="1">
        <v>46032</v>
      </c>
      <c r="D109" s="2">
        <v>0.70833333333333337</v>
      </c>
      <c r="E109" s="2">
        <v>0.75</v>
      </c>
      <c r="F109" s="3" t="s">
        <v>56</v>
      </c>
      <c r="G109" s="3" t="s">
        <v>185</v>
      </c>
      <c r="H109" s="3" t="s">
        <v>58</v>
      </c>
      <c r="I109" s="3" t="s">
        <v>30</v>
      </c>
      <c r="J109" s="3" t="s">
        <v>31</v>
      </c>
      <c r="K109" s="3" t="s">
        <v>32</v>
      </c>
      <c r="L109" s="3" t="s">
        <v>33</v>
      </c>
      <c r="M109">
        <v>100</v>
      </c>
      <c r="N109">
        <v>36</v>
      </c>
      <c r="O109">
        <v>60</v>
      </c>
      <c r="P109">
        <v>3</v>
      </c>
      <c r="Q109" s="3" t="s">
        <v>78</v>
      </c>
      <c r="R109">
        <v>89</v>
      </c>
      <c r="S109">
        <v>89</v>
      </c>
      <c r="T109">
        <v>0</v>
      </c>
      <c r="U109" s="3" t="s">
        <v>75</v>
      </c>
      <c r="V109" s="3" t="s">
        <v>76</v>
      </c>
      <c r="W109">
        <v>50</v>
      </c>
      <c r="X109">
        <v>0</v>
      </c>
      <c r="Y109">
        <v>57</v>
      </c>
      <c r="Z109" s="4">
        <v>0.95</v>
      </c>
      <c r="AA109" s="4">
        <v>0.93684210526315803</v>
      </c>
      <c r="AB109" s="4">
        <v>1</v>
      </c>
      <c r="AC109" s="4">
        <v>0.89</v>
      </c>
      <c r="AD109" s="6">
        <v>250</v>
      </c>
      <c r="AE109" s="5">
        <v>4450</v>
      </c>
      <c r="AF109">
        <v>250</v>
      </c>
      <c r="AG109"/>
      <c r="AH109"/>
      <c r="AI109"/>
      <c r="AJ109"/>
    </row>
    <row r="110" spans="1:36" x14ac:dyDescent="0.25">
      <c r="A110">
        <v>109</v>
      </c>
      <c r="B110" s="1">
        <v>46033</v>
      </c>
      <c r="C110" s="1">
        <v>46033</v>
      </c>
      <c r="D110" s="2">
        <v>0.29166666666666669</v>
      </c>
      <c r="E110" s="2">
        <v>0.33333333333333331</v>
      </c>
      <c r="F110" s="3" t="s">
        <v>27</v>
      </c>
      <c r="G110" s="3" t="s">
        <v>186</v>
      </c>
      <c r="H110" s="3" t="s">
        <v>67</v>
      </c>
      <c r="I110" s="3" t="s">
        <v>45</v>
      </c>
      <c r="J110" s="3" t="s">
        <v>46</v>
      </c>
      <c r="K110" s="3" t="s">
        <v>47</v>
      </c>
      <c r="L110" s="3" t="s">
        <v>33</v>
      </c>
      <c r="M110">
        <v>120</v>
      </c>
      <c r="N110">
        <v>30</v>
      </c>
      <c r="O110">
        <v>60</v>
      </c>
      <c r="P110">
        <v>0</v>
      </c>
      <c r="Q110" s="3" t="s">
        <v>39</v>
      </c>
      <c r="R110">
        <v>116</v>
      </c>
      <c r="S110">
        <v>112</v>
      </c>
      <c r="T110">
        <v>4</v>
      </c>
      <c r="U110" s="3" t="s">
        <v>35</v>
      </c>
      <c r="V110" s="3" t="s">
        <v>36</v>
      </c>
      <c r="W110">
        <v>80</v>
      </c>
      <c r="X110">
        <v>320</v>
      </c>
      <c r="Y110">
        <v>60</v>
      </c>
      <c r="Z110" s="4">
        <v>1</v>
      </c>
      <c r="AA110" s="4">
        <v>0.96666666666666701</v>
      </c>
      <c r="AB110" s="4">
        <v>0.96551724137931005</v>
      </c>
      <c r="AC110" s="4">
        <v>0.93333333333333302</v>
      </c>
      <c r="AD110" s="6">
        <v>0</v>
      </c>
      <c r="AE110" s="5">
        <v>8960</v>
      </c>
      <c r="AF110">
        <v>320</v>
      </c>
      <c r="AG110"/>
      <c r="AH110"/>
      <c r="AI110"/>
      <c r="AJ110"/>
    </row>
    <row r="111" spans="1:36" x14ac:dyDescent="0.25">
      <c r="A111">
        <v>110</v>
      </c>
      <c r="B111" s="1">
        <v>46033</v>
      </c>
      <c r="C111" s="1">
        <v>46033</v>
      </c>
      <c r="D111" s="2">
        <v>0.33333333333333331</v>
      </c>
      <c r="E111" s="2">
        <v>0.375</v>
      </c>
      <c r="F111" s="3" t="s">
        <v>27</v>
      </c>
      <c r="G111" s="3" t="s">
        <v>187</v>
      </c>
      <c r="H111" s="3" t="s">
        <v>29</v>
      </c>
      <c r="I111" s="3" t="s">
        <v>45</v>
      </c>
      <c r="J111" s="3" t="s">
        <v>46</v>
      </c>
      <c r="K111" s="3" t="s">
        <v>47</v>
      </c>
      <c r="L111" s="3" t="s">
        <v>33</v>
      </c>
      <c r="M111">
        <v>120</v>
      </c>
      <c r="N111">
        <v>30</v>
      </c>
      <c r="O111">
        <v>60</v>
      </c>
      <c r="P111">
        <v>9</v>
      </c>
      <c r="Q111" s="3" t="s">
        <v>82</v>
      </c>
      <c r="R111">
        <v>0</v>
      </c>
      <c r="S111">
        <v>0</v>
      </c>
      <c r="T111">
        <v>0</v>
      </c>
      <c r="U111" s="3" t="s">
        <v>42</v>
      </c>
      <c r="V111" s="3" t="s">
        <v>43</v>
      </c>
      <c r="W111">
        <v>80</v>
      </c>
      <c r="X111">
        <v>0</v>
      </c>
      <c r="Y111">
        <v>51</v>
      </c>
      <c r="Z111" s="4">
        <v>0.85</v>
      </c>
      <c r="AA111" s="4">
        <v>0</v>
      </c>
      <c r="AB111" s="4">
        <v>0</v>
      </c>
      <c r="AC111" s="4">
        <v>0</v>
      </c>
      <c r="AD111" s="6">
        <v>1440</v>
      </c>
      <c r="AE111" s="5">
        <v>0</v>
      </c>
      <c r="AF111">
        <v>1440</v>
      </c>
      <c r="AG111"/>
      <c r="AH111"/>
      <c r="AI111"/>
      <c r="AJ111"/>
    </row>
    <row r="112" spans="1:36" x14ac:dyDescent="0.25">
      <c r="A112">
        <v>111</v>
      </c>
      <c r="B112" s="1">
        <v>46033</v>
      </c>
      <c r="C112" s="1">
        <v>46033</v>
      </c>
      <c r="D112" s="2">
        <v>0.375</v>
      </c>
      <c r="E112" s="2">
        <v>0.41666666666666669</v>
      </c>
      <c r="F112" s="3" t="s">
        <v>27</v>
      </c>
      <c r="G112" s="3" t="s">
        <v>188</v>
      </c>
      <c r="H112" s="3" t="s">
        <v>29</v>
      </c>
      <c r="I112" s="3" t="s">
        <v>45</v>
      </c>
      <c r="J112" s="3" t="s">
        <v>46</v>
      </c>
      <c r="K112" s="3" t="s">
        <v>47</v>
      </c>
      <c r="L112" s="3" t="s">
        <v>33</v>
      </c>
      <c r="M112">
        <v>120</v>
      </c>
      <c r="N112">
        <v>30</v>
      </c>
      <c r="O112">
        <v>60</v>
      </c>
      <c r="P112">
        <v>2</v>
      </c>
      <c r="Q112" s="3" t="s">
        <v>85</v>
      </c>
      <c r="R112">
        <v>99</v>
      </c>
      <c r="S112">
        <v>98</v>
      </c>
      <c r="T112">
        <v>1</v>
      </c>
      <c r="U112" s="3" t="s">
        <v>42</v>
      </c>
      <c r="V112" s="3" t="s">
        <v>43</v>
      </c>
      <c r="W112">
        <v>80</v>
      </c>
      <c r="X112">
        <v>80</v>
      </c>
      <c r="Y112">
        <v>58</v>
      </c>
      <c r="Z112" s="4">
        <v>0.96666666666666701</v>
      </c>
      <c r="AA112" s="4">
        <v>0.85344827586206895</v>
      </c>
      <c r="AB112" s="4">
        <v>0.98989898989898994</v>
      </c>
      <c r="AC112" s="4">
        <v>0.81666666666666698</v>
      </c>
      <c r="AD112" s="6">
        <v>320</v>
      </c>
      <c r="AE112" s="5">
        <v>7840</v>
      </c>
      <c r="AF112">
        <v>400</v>
      </c>
      <c r="AG112"/>
      <c r="AH112"/>
      <c r="AI112"/>
      <c r="AJ112"/>
    </row>
    <row r="113" spans="1:36" x14ac:dyDescent="0.25">
      <c r="A113">
        <v>112</v>
      </c>
      <c r="B113" s="1">
        <v>46033</v>
      </c>
      <c r="C113" s="1">
        <v>46033</v>
      </c>
      <c r="D113" s="2">
        <v>0.41666666666666669</v>
      </c>
      <c r="E113" s="2">
        <v>0.45833333333333331</v>
      </c>
      <c r="F113" s="3" t="s">
        <v>27</v>
      </c>
      <c r="G113" s="3" t="s">
        <v>189</v>
      </c>
      <c r="H113" s="3" t="s">
        <v>38</v>
      </c>
      <c r="I113" s="3" t="s">
        <v>59</v>
      </c>
      <c r="J113" s="3" t="s">
        <v>60</v>
      </c>
      <c r="K113" s="3" t="s">
        <v>61</v>
      </c>
      <c r="L113" s="3" t="s">
        <v>62</v>
      </c>
      <c r="M113">
        <v>80</v>
      </c>
      <c r="N113">
        <v>45</v>
      </c>
      <c r="O113">
        <v>60</v>
      </c>
      <c r="P113">
        <v>0</v>
      </c>
      <c r="Q113" s="3" t="s">
        <v>39</v>
      </c>
      <c r="R113">
        <v>86</v>
      </c>
      <c r="S113">
        <v>79</v>
      </c>
      <c r="T113">
        <v>7</v>
      </c>
      <c r="U113" s="3" t="s">
        <v>49</v>
      </c>
      <c r="V113" s="3" t="s">
        <v>50</v>
      </c>
      <c r="W113">
        <v>120</v>
      </c>
      <c r="X113">
        <v>840</v>
      </c>
      <c r="Y113">
        <v>60</v>
      </c>
      <c r="Z113" s="4">
        <v>1</v>
      </c>
      <c r="AA113" s="4">
        <v>1.075</v>
      </c>
      <c r="AB113" s="4">
        <v>0.918604651162791</v>
      </c>
      <c r="AC113" s="4">
        <v>0.98750000000000004</v>
      </c>
      <c r="AD113" s="6">
        <v>0</v>
      </c>
      <c r="AE113" s="5">
        <v>9480</v>
      </c>
      <c r="AF113">
        <v>840</v>
      </c>
      <c r="AG113"/>
      <c r="AH113"/>
      <c r="AI113"/>
      <c r="AJ113"/>
    </row>
    <row r="114" spans="1:36" x14ac:dyDescent="0.25">
      <c r="A114">
        <v>113</v>
      </c>
      <c r="B114" s="1">
        <v>46033</v>
      </c>
      <c r="C114" s="1">
        <v>46033</v>
      </c>
      <c r="D114" s="2">
        <v>0.45833333333333331</v>
      </c>
      <c r="E114" s="2">
        <v>0.5</v>
      </c>
      <c r="F114" s="3" t="s">
        <v>27</v>
      </c>
      <c r="G114" s="3" t="s">
        <v>190</v>
      </c>
      <c r="H114" s="3" t="s">
        <v>91</v>
      </c>
      <c r="I114" s="3" t="s">
        <v>59</v>
      </c>
      <c r="J114" s="3" t="s">
        <v>60</v>
      </c>
      <c r="K114" s="3" t="s">
        <v>61</v>
      </c>
      <c r="L114" s="3" t="s">
        <v>62</v>
      </c>
      <c r="M114">
        <v>80</v>
      </c>
      <c r="N114">
        <v>45</v>
      </c>
      <c r="O114">
        <v>60</v>
      </c>
      <c r="P114">
        <v>15</v>
      </c>
      <c r="Q114" s="3" t="s">
        <v>88</v>
      </c>
      <c r="R114">
        <v>69</v>
      </c>
      <c r="S114">
        <v>69</v>
      </c>
      <c r="T114">
        <v>0</v>
      </c>
      <c r="U114" s="3" t="s">
        <v>54</v>
      </c>
      <c r="V114" s="3" t="s">
        <v>55</v>
      </c>
      <c r="W114">
        <v>120</v>
      </c>
      <c r="X114">
        <v>0</v>
      </c>
      <c r="Y114">
        <v>45</v>
      </c>
      <c r="Z114" s="4">
        <v>0.75</v>
      </c>
      <c r="AA114" s="4">
        <v>1.1499999999999999</v>
      </c>
      <c r="AB114" s="4">
        <v>1</v>
      </c>
      <c r="AC114" s="4">
        <v>0.86250000000000004</v>
      </c>
      <c r="AD114" s="6">
        <v>2400</v>
      </c>
      <c r="AE114" s="5">
        <v>8280</v>
      </c>
      <c r="AF114">
        <v>2400</v>
      </c>
      <c r="AG114"/>
      <c r="AH114"/>
      <c r="AI114"/>
      <c r="AJ114"/>
    </row>
    <row r="115" spans="1:36" x14ac:dyDescent="0.25">
      <c r="A115">
        <v>114</v>
      </c>
      <c r="B115" s="1">
        <v>46033</v>
      </c>
      <c r="C115" s="1">
        <v>46033</v>
      </c>
      <c r="D115" s="2">
        <v>0.5</v>
      </c>
      <c r="E115" s="2">
        <v>0.54166666666666663</v>
      </c>
      <c r="F115" s="3" t="s">
        <v>56</v>
      </c>
      <c r="G115" s="3" t="s">
        <v>191</v>
      </c>
      <c r="H115" s="3" t="s">
        <v>91</v>
      </c>
      <c r="I115" s="3" t="s">
        <v>30</v>
      </c>
      <c r="J115" s="3" t="s">
        <v>31</v>
      </c>
      <c r="K115" s="3" t="s">
        <v>32</v>
      </c>
      <c r="L115" s="3" t="s">
        <v>33</v>
      </c>
      <c r="M115">
        <v>100</v>
      </c>
      <c r="N115">
        <v>36</v>
      </c>
      <c r="O115">
        <v>60</v>
      </c>
      <c r="P115">
        <v>0</v>
      </c>
      <c r="Q115" s="3" t="s">
        <v>39</v>
      </c>
      <c r="R115">
        <v>97</v>
      </c>
      <c r="S115">
        <v>94</v>
      </c>
      <c r="T115">
        <v>3</v>
      </c>
      <c r="U115" s="3" t="s">
        <v>63</v>
      </c>
      <c r="V115" s="3" t="s">
        <v>64</v>
      </c>
      <c r="W115">
        <v>50</v>
      </c>
      <c r="X115">
        <v>150</v>
      </c>
      <c r="Y115">
        <v>60</v>
      </c>
      <c r="Z115" s="4">
        <v>1</v>
      </c>
      <c r="AA115" s="4">
        <v>0.97</v>
      </c>
      <c r="AB115" s="4">
        <v>0.96907216494845405</v>
      </c>
      <c r="AC115" s="4">
        <v>0.94</v>
      </c>
      <c r="AD115" s="6">
        <v>0</v>
      </c>
      <c r="AE115" s="5">
        <v>4700</v>
      </c>
      <c r="AF115">
        <v>150</v>
      </c>
      <c r="AG115"/>
      <c r="AH115"/>
      <c r="AI115"/>
      <c r="AJ115"/>
    </row>
    <row r="116" spans="1:36" x14ac:dyDescent="0.25">
      <c r="A116">
        <v>115</v>
      </c>
      <c r="B116" s="1">
        <v>46033</v>
      </c>
      <c r="C116" s="1">
        <v>46033</v>
      </c>
      <c r="D116" s="2">
        <v>0.54166666666666663</v>
      </c>
      <c r="E116" s="2">
        <v>0.58333333333333337</v>
      </c>
      <c r="F116" s="3" t="s">
        <v>56</v>
      </c>
      <c r="G116" s="3" t="s">
        <v>192</v>
      </c>
      <c r="H116" s="3" t="s">
        <v>58</v>
      </c>
      <c r="I116" s="3" t="s">
        <v>30</v>
      </c>
      <c r="J116" s="3" t="s">
        <v>31</v>
      </c>
      <c r="K116" s="3" t="s">
        <v>32</v>
      </c>
      <c r="L116" s="3" t="s">
        <v>33</v>
      </c>
      <c r="M116">
        <v>100</v>
      </c>
      <c r="N116">
        <v>36</v>
      </c>
      <c r="O116">
        <v>60</v>
      </c>
      <c r="P116">
        <v>6</v>
      </c>
      <c r="Q116" s="3" t="s">
        <v>92</v>
      </c>
      <c r="R116">
        <v>89</v>
      </c>
      <c r="S116">
        <v>89</v>
      </c>
      <c r="T116">
        <v>0</v>
      </c>
      <c r="U116" s="3" t="s">
        <v>69</v>
      </c>
      <c r="V116" s="3" t="s">
        <v>70</v>
      </c>
      <c r="W116">
        <v>50</v>
      </c>
      <c r="X116">
        <v>0</v>
      </c>
      <c r="Y116">
        <v>54</v>
      </c>
      <c r="Z116" s="4">
        <v>0.9</v>
      </c>
      <c r="AA116" s="4">
        <v>0.98888888888888904</v>
      </c>
      <c r="AB116" s="4">
        <v>1</v>
      </c>
      <c r="AC116" s="4">
        <v>0.89</v>
      </c>
      <c r="AD116" s="6">
        <v>500</v>
      </c>
      <c r="AE116" s="5">
        <v>4450</v>
      </c>
      <c r="AF116">
        <v>500</v>
      </c>
      <c r="AG116"/>
      <c r="AH116"/>
      <c r="AI116"/>
      <c r="AJ116"/>
    </row>
    <row r="117" spans="1:36" x14ac:dyDescent="0.25">
      <c r="A117">
        <v>116</v>
      </c>
      <c r="B117" s="1">
        <v>46033</v>
      </c>
      <c r="C117" s="1">
        <v>46033</v>
      </c>
      <c r="D117" s="2">
        <v>0.58333333333333337</v>
      </c>
      <c r="E117" s="2">
        <v>0.625</v>
      </c>
      <c r="F117" s="3" t="s">
        <v>56</v>
      </c>
      <c r="G117" s="3" t="s">
        <v>193</v>
      </c>
      <c r="H117" s="3" t="s">
        <v>91</v>
      </c>
      <c r="I117" s="3" t="s">
        <v>45</v>
      </c>
      <c r="J117" s="3" t="s">
        <v>46</v>
      </c>
      <c r="K117" s="3" t="s">
        <v>47</v>
      </c>
      <c r="L117" s="3" t="s">
        <v>33</v>
      </c>
      <c r="M117">
        <v>120</v>
      </c>
      <c r="N117">
        <v>30</v>
      </c>
      <c r="O117">
        <v>60</v>
      </c>
      <c r="P117">
        <v>0</v>
      </c>
      <c r="Q117" s="3" t="s">
        <v>39</v>
      </c>
      <c r="R117">
        <v>114</v>
      </c>
      <c r="S117">
        <v>107</v>
      </c>
      <c r="T117">
        <v>7</v>
      </c>
      <c r="U117" s="3" t="s">
        <v>72</v>
      </c>
      <c r="V117" s="3" t="s">
        <v>73</v>
      </c>
      <c r="W117">
        <v>80</v>
      </c>
      <c r="X117">
        <v>560</v>
      </c>
      <c r="Y117">
        <v>60</v>
      </c>
      <c r="Z117" s="4">
        <v>1</v>
      </c>
      <c r="AA117" s="4">
        <v>0.95</v>
      </c>
      <c r="AB117" s="4">
        <v>0.93859649122806998</v>
      </c>
      <c r="AC117" s="4">
        <v>0.89166666666666605</v>
      </c>
      <c r="AD117" s="6">
        <v>0</v>
      </c>
      <c r="AE117" s="5">
        <v>8560</v>
      </c>
      <c r="AF117">
        <v>560</v>
      </c>
      <c r="AG117"/>
      <c r="AH117"/>
      <c r="AI117"/>
      <c r="AJ117"/>
    </row>
    <row r="118" spans="1:36" x14ac:dyDescent="0.25">
      <c r="A118">
        <v>117</v>
      </c>
      <c r="B118" s="1">
        <v>46033</v>
      </c>
      <c r="C118" s="1">
        <v>46033</v>
      </c>
      <c r="D118" s="2">
        <v>0.625</v>
      </c>
      <c r="E118" s="2">
        <v>0.66666666666666663</v>
      </c>
      <c r="F118" s="3" t="s">
        <v>56</v>
      </c>
      <c r="G118" s="3" t="s">
        <v>194</v>
      </c>
      <c r="H118" s="3" t="s">
        <v>29</v>
      </c>
      <c r="I118" s="3" t="s">
        <v>45</v>
      </c>
      <c r="J118" s="3" t="s">
        <v>46</v>
      </c>
      <c r="K118" s="3" t="s">
        <v>47</v>
      </c>
      <c r="L118" s="3" t="s">
        <v>33</v>
      </c>
      <c r="M118">
        <v>120</v>
      </c>
      <c r="N118">
        <v>30</v>
      </c>
      <c r="O118">
        <v>60</v>
      </c>
      <c r="P118">
        <v>17</v>
      </c>
      <c r="Q118" s="3" t="s">
        <v>95</v>
      </c>
      <c r="R118">
        <v>80</v>
      </c>
      <c r="S118">
        <v>71</v>
      </c>
      <c r="T118">
        <v>9</v>
      </c>
      <c r="U118" s="3" t="s">
        <v>63</v>
      </c>
      <c r="V118" s="3" t="s">
        <v>64</v>
      </c>
      <c r="W118">
        <v>80</v>
      </c>
      <c r="X118">
        <v>720</v>
      </c>
      <c r="Y118">
        <v>43</v>
      </c>
      <c r="Z118" s="4">
        <v>0.71666666666666701</v>
      </c>
      <c r="AA118" s="4">
        <v>0.93023255813953498</v>
      </c>
      <c r="AB118" s="4">
        <v>0.88749999999999996</v>
      </c>
      <c r="AC118" s="4">
        <v>0.59166666666666701</v>
      </c>
      <c r="AD118" s="6">
        <v>2720</v>
      </c>
      <c r="AE118" s="5">
        <v>5680</v>
      </c>
      <c r="AF118">
        <v>3440</v>
      </c>
      <c r="AG118"/>
      <c r="AH118"/>
      <c r="AI118"/>
      <c r="AJ118"/>
    </row>
    <row r="119" spans="1:36" x14ac:dyDescent="0.25">
      <c r="A119">
        <v>118</v>
      </c>
      <c r="B119" s="1">
        <v>46033</v>
      </c>
      <c r="C119" s="1">
        <v>46033</v>
      </c>
      <c r="D119" s="2">
        <v>0.70833333333333337</v>
      </c>
      <c r="E119" s="2">
        <v>0.75</v>
      </c>
      <c r="F119" s="3" t="s">
        <v>96</v>
      </c>
      <c r="G119" s="3" t="s">
        <v>195</v>
      </c>
      <c r="H119" s="3" t="s">
        <v>38</v>
      </c>
      <c r="I119" s="3" t="s">
        <v>59</v>
      </c>
      <c r="J119" s="3" t="s">
        <v>60</v>
      </c>
      <c r="K119" s="3" t="s">
        <v>61</v>
      </c>
      <c r="L119" s="3" t="s">
        <v>62</v>
      </c>
      <c r="M119">
        <v>80</v>
      </c>
      <c r="N119">
        <v>45</v>
      </c>
      <c r="O119">
        <v>60</v>
      </c>
      <c r="P119">
        <v>0</v>
      </c>
      <c r="Q119" s="3" t="s">
        <v>39</v>
      </c>
      <c r="R119">
        <v>74</v>
      </c>
      <c r="S119">
        <v>74</v>
      </c>
      <c r="T119">
        <v>0</v>
      </c>
      <c r="U119" s="3" t="s">
        <v>99</v>
      </c>
      <c r="V119" s="3" t="s">
        <v>100</v>
      </c>
      <c r="W119">
        <v>120</v>
      </c>
      <c r="X119">
        <v>0</v>
      </c>
      <c r="Y119">
        <v>60</v>
      </c>
      <c r="Z119" s="4">
        <v>1</v>
      </c>
      <c r="AA119" s="4">
        <v>0.92500000000000004</v>
      </c>
      <c r="AB119" s="4">
        <v>1</v>
      </c>
      <c r="AC119" s="4">
        <v>0.92500000000000004</v>
      </c>
      <c r="AD119" s="6">
        <v>0</v>
      </c>
      <c r="AE119" s="5">
        <v>8880</v>
      </c>
      <c r="AF119">
        <v>0</v>
      </c>
      <c r="AG119"/>
      <c r="AH119"/>
      <c r="AI119"/>
      <c r="AJ119"/>
    </row>
    <row r="120" spans="1:36" x14ac:dyDescent="0.25">
      <c r="A120">
        <v>119</v>
      </c>
      <c r="B120" s="1">
        <v>46033</v>
      </c>
      <c r="C120" s="1">
        <v>46033</v>
      </c>
      <c r="D120" s="2">
        <v>0.75</v>
      </c>
      <c r="E120" s="2">
        <v>0.79166666666666663</v>
      </c>
      <c r="F120" s="3" t="s">
        <v>96</v>
      </c>
      <c r="G120" s="3" t="s">
        <v>196</v>
      </c>
      <c r="H120" s="3" t="s">
        <v>29</v>
      </c>
      <c r="I120" s="3" t="s">
        <v>59</v>
      </c>
      <c r="J120" s="3" t="s">
        <v>60</v>
      </c>
      <c r="K120" s="3" t="s">
        <v>61</v>
      </c>
      <c r="L120" s="3" t="s">
        <v>62</v>
      </c>
      <c r="M120">
        <v>80</v>
      </c>
      <c r="N120">
        <v>45</v>
      </c>
      <c r="O120">
        <v>60</v>
      </c>
      <c r="P120">
        <v>31</v>
      </c>
      <c r="Q120" s="3" t="s">
        <v>102</v>
      </c>
      <c r="R120">
        <v>63</v>
      </c>
      <c r="S120">
        <v>47</v>
      </c>
      <c r="T120">
        <v>16</v>
      </c>
      <c r="U120" s="3" t="s">
        <v>99</v>
      </c>
      <c r="V120" s="3" t="s">
        <v>100</v>
      </c>
      <c r="W120">
        <v>120</v>
      </c>
      <c r="X120">
        <v>1920</v>
      </c>
      <c r="Y120">
        <v>29</v>
      </c>
      <c r="Z120" s="4">
        <v>0.483333333333333</v>
      </c>
      <c r="AA120" s="4">
        <v>1.6293103448275901</v>
      </c>
      <c r="AB120" s="4">
        <v>0.74603174603174605</v>
      </c>
      <c r="AC120" s="4">
        <v>0.58750000000000102</v>
      </c>
      <c r="AD120" s="6">
        <v>4960</v>
      </c>
      <c r="AE120" s="5">
        <v>5640</v>
      </c>
      <c r="AF120">
        <v>6880</v>
      </c>
      <c r="AG120"/>
      <c r="AH120"/>
      <c r="AI120"/>
      <c r="AJ120"/>
    </row>
    <row r="121" spans="1:36" x14ac:dyDescent="0.25">
      <c r="A121">
        <v>120</v>
      </c>
      <c r="B121" s="1">
        <v>46034</v>
      </c>
      <c r="C121" s="1">
        <v>46034</v>
      </c>
      <c r="D121" s="2">
        <v>0.29166666666666669</v>
      </c>
      <c r="E121" s="2">
        <v>0.33333333333333331</v>
      </c>
      <c r="F121" s="3" t="s">
        <v>27</v>
      </c>
      <c r="G121" s="3" t="s">
        <v>197</v>
      </c>
      <c r="H121" s="3" t="s">
        <v>91</v>
      </c>
      <c r="I121" s="3" t="s">
        <v>30</v>
      </c>
      <c r="J121" s="3" t="s">
        <v>31</v>
      </c>
      <c r="K121" s="3" t="s">
        <v>32</v>
      </c>
      <c r="L121" s="3" t="s">
        <v>33</v>
      </c>
      <c r="M121">
        <v>100</v>
      </c>
      <c r="N121">
        <v>36</v>
      </c>
      <c r="O121">
        <v>60</v>
      </c>
      <c r="P121">
        <v>6</v>
      </c>
      <c r="Q121" s="3" t="s">
        <v>104</v>
      </c>
      <c r="R121">
        <v>94</v>
      </c>
      <c r="S121">
        <v>91</v>
      </c>
      <c r="T121">
        <v>3</v>
      </c>
      <c r="U121" s="3" t="s">
        <v>35</v>
      </c>
      <c r="V121" s="3" t="s">
        <v>36</v>
      </c>
      <c r="W121">
        <v>50</v>
      </c>
      <c r="X121">
        <v>150</v>
      </c>
      <c r="Y121">
        <v>54</v>
      </c>
      <c r="Z121" s="4">
        <v>0.9</v>
      </c>
      <c r="AA121" s="4">
        <v>1.0444444444444401</v>
      </c>
      <c r="AB121" s="4">
        <v>0.96808510638297895</v>
      </c>
      <c r="AC121" s="4">
        <v>0.90999999999999603</v>
      </c>
      <c r="AD121" s="6">
        <v>500</v>
      </c>
      <c r="AE121" s="5">
        <v>4550</v>
      </c>
      <c r="AF121">
        <v>650</v>
      </c>
      <c r="AG121"/>
      <c r="AH121"/>
      <c r="AI121"/>
      <c r="AJ121"/>
    </row>
    <row r="122" spans="1:36" x14ac:dyDescent="0.25">
      <c r="A122">
        <v>121</v>
      </c>
      <c r="B122" s="1">
        <v>46034</v>
      </c>
      <c r="C122" s="1">
        <v>46034</v>
      </c>
      <c r="D122" s="2">
        <v>0.33333333333333331</v>
      </c>
      <c r="E122" s="2">
        <v>0.375</v>
      </c>
      <c r="F122" s="3" t="s">
        <v>27</v>
      </c>
      <c r="G122" s="3" t="s">
        <v>198</v>
      </c>
      <c r="H122" s="3" t="s">
        <v>29</v>
      </c>
      <c r="I122" s="3" t="s">
        <v>30</v>
      </c>
      <c r="J122" s="3" t="s">
        <v>31</v>
      </c>
      <c r="K122" s="3" t="s">
        <v>32</v>
      </c>
      <c r="L122" s="3" t="s">
        <v>33</v>
      </c>
      <c r="M122">
        <v>100</v>
      </c>
      <c r="N122">
        <v>36</v>
      </c>
      <c r="O122">
        <v>60</v>
      </c>
      <c r="P122">
        <v>0</v>
      </c>
      <c r="Q122" s="3" t="s">
        <v>39</v>
      </c>
      <c r="R122">
        <v>92</v>
      </c>
      <c r="S122">
        <v>92</v>
      </c>
      <c r="T122">
        <v>0</v>
      </c>
      <c r="U122" s="3" t="s">
        <v>35</v>
      </c>
      <c r="V122" s="3" t="s">
        <v>36</v>
      </c>
      <c r="W122">
        <v>50</v>
      </c>
      <c r="X122">
        <v>0</v>
      </c>
      <c r="Y122">
        <v>60</v>
      </c>
      <c r="Z122" s="4">
        <v>1</v>
      </c>
      <c r="AA122" s="4">
        <v>0.92</v>
      </c>
      <c r="AB122" s="4">
        <v>1</v>
      </c>
      <c r="AC122" s="4">
        <v>0.92</v>
      </c>
      <c r="AD122" s="6">
        <v>0</v>
      </c>
      <c r="AE122" s="5">
        <v>4600</v>
      </c>
      <c r="AF122">
        <v>0</v>
      </c>
      <c r="AG122"/>
      <c r="AH122"/>
      <c r="AI122"/>
      <c r="AJ122"/>
    </row>
    <row r="123" spans="1:36" x14ac:dyDescent="0.25">
      <c r="A123">
        <v>122</v>
      </c>
      <c r="B123" s="1">
        <v>46034</v>
      </c>
      <c r="C123" s="1">
        <v>46034</v>
      </c>
      <c r="D123" s="2">
        <v>0.375</v>
      </c>
      <c r="E123" s="2">
        <v>0.41666666666666669</v>
      </c>
      <c r="F123" s="3" t="s">
        <v>27</v>
      </c>
      <c r="G123" s="3" t="s">
        <v>199</v>
      </c>
      <c r="H123" s="3" t="s">
        <v>117</v>
      </c>
      <c r="I123" s="3" t="s">
        <v>30</v>
      </c>
      <c r="J123" s="3" t="s">
        <v>31</v>
      </c>
      <c r="K123" s="3" t="s">
        <v>32</v>
      </c>
      <c r="L123" s="3" t="s">
        <v>33</v>
      </c>
      <c r="M123">
        <v>100</v>
      </c>
      <c r="N123">
        <v>36</v>
      </c>
      <c r="O123">
        <v>60</v>
      </c>
      <c r="P123">
        <v>5</v>
      </c>
      <c r="Q123" s="3" t="s">
        <v>34</v>
      </c>
      <c r="R123">
        <v>82</v>
      </c>
      <c r="S123">
        <v>80</v>
      </c>
      <c r="T123">
        <v>2</v>
      </c>
      <c r="U123" s="3" t="s">
        <v>35</v>
      </c>
      <c r="V123" s="3" t="s">
        <v>36</v>
      </c>
      <c r="W123">
        <v>50</v>
      </c>
      <c r="X123">
        <v>100</v>
      </c>
      <c r="Y123">
        <v>55</v>
      </c>
      <c r="Z123" s="4">
        <v>0.91666666666666596</v>
      </c>
      <c r="AA123" s="4">
        <v>0.89454545454545398</v>
      </c>
      <c r="AB123" s="4">
        <v>0.97560975609756095</v>
      </c>
      <c r="AC123" s="4">
        <v>0.79999999999999905</v>
      </c>
      <c r="AD123" s="6">
        <v>416.66669999999999</v>
      </c>
      <c r="AE123" s="5">
        <v>4000</v>
      </c>
      <c r="AF123">
        <v>516.66669999999999</v>
      </c>
      <c r="AG123"/>
      <c r="AH123"/>
      <c r="AI123"/>
      <c r="AJ123"/>
    </row>
    <row r="124" spans="1:36" x14ac:dyDescent="0.25">
      <c r="A124">
        <v>123</v>
      </c>
      <c r="B124" s="1">
        <v>46034</v>
      </c>
      <c r="C124" s="1">
        <v>46034</v>
      </c>
      <c r="D124" s="2">
        <v>0.41666666666666669</v>
      </c>
      <c r="E124" s="2">
        <v>0.45833333333333331</v>
      </c>
      <c r="F124" s="3" t="s">
        <v>27</v>
      </c>
      <c r="G124" s="3" t="s">
        <v>200</v>
      </c>
      <c r="H124" s="3" t="s">
        <v>80</v>
      </c>
      <c r="I124" s="3" t="s">
        <v>30</v>
      </c>
      <c r="J124" s="3" t="s">
        <v>31</v>
      </c>
      <c r="K124" s="3" t="s">
        <v>32</v>
      </c>
      <c r="L124" s="3" t="s">
        <v>33</v>
      </c>
      <c r="M124">
        <v>100</v>
      </c>
      <c r="N124">
        <v>36</v>
      </c>
      <c r="O124">
        <v>60</v>
      </c>
      <c r="P124">
        <v>14</v>
      </c>
      <c r="Q124" s="3" t="s">
        <v>41</v>
      </c>
      <c r="R124">
        <v>78</v>
      </c>
      <c r="S124">
        <v>73</v>
      </c>
      <c r="T124">
        <v>5</v>
      </c>
      <c r="U124" s="3" t="s">
        <v>42</v>
      </c>
      <c r="V124" s="3" t="s">
        <v>43</v>
      </c>
      <c r="W124">
        <v>50</v>
      </c>
      <c r="X124">
        <v>250</v>
      </c>
      <c r="Y124">
        <v>46</v>
      </c>
      <c r="Z124" s="4">
        <v>0.76666666666666705</v>
      </c>
      <c r="AA124" s="4">
        <v>1.01739130434783</v>
      </c>
      <c r="AB124" s="4">
        <v>0.93589743589743601</v>
      </c>
      <c r="AC124" s="4">
        <v>0.73000000000000298</v>
      </c>
      <c r="AD124" s="6">
        <v>1166.6667</v>
      </c>
      <c r="AE124" s="5">
        <v>3650</v>
      </c>
      <c r="AF124">
        <v>1416.6667</v>
      </c>
      <c r="AG124"/>
      <c r="AH124"/>
      <c r="AI124"/>
      <c r="AJ124"/>
    </row>
    <row r="125" spans="1:36" x14ac:dyDescent="0.25">
      <c r="A125">
        <v>124</v>
      </c>
      <c r="B125" s="1">
        <v>46034</v>
      </c>
      <c r="C125" s="1">
        <v>46034</v>
      </c>
      <c r="D125" s="2">
        <v>0.45833333333333331</v>
      </c>
      <c r="E125" s="2">
        <v>0.5</v>
      </c>
      <c r="F125" s="3" t="s">
        <v>27</v>
      </c>
      <c r="G125" s="3" t="s">
        <v>201</v>
      </c>
      <c r="H125" s="3" t="s">
        <v>91</v>
      </c>
      <c r="I125" s="3" t="s">
        <v>45</v>
      </c>
      <c r="J125" s="3" t="s">
        <v>46</v>
      </c>
      <c r="K125" s="3" t="s">
        <v>47</v>
      </c>
      <c r="L125" s="3" t="s">
        <v>33</v>
      </c>
      <c r="M125">
        <v>120</v>
      </c>
      <c r="N125">
        <v>30</v>
      </c>
      <c r="O125">
        <v>60</v>
      </c>
      <c r="P125">
        <v>2</v>
      </c>
      <c r="Q125" s="3" t="s">
        <v>48</v>
      </c>
      <c r="R125">
        <v>120</v>
      </c>
      <c r="S125">
        <v>115</v>
      </c>
      <c r="T125">
        <v>5</v>
      </c>
      <c r="U125" s="3" t="s">
        <v>49</v>
      </c>
      <c r="V125" s="3" t="s">
        <v>50</v>
      </c>
      <c r="W125">
        <v>80</v>
      </c>
      <c r="X125">
        <v>400</v>
      </c>
      <c r="Y125">
        <v>58</v>
      </c>
      <c r="Z125" s="4">
        <v>0.96666666666666701</v>
      </c>
      <c r="AA125" s="4">
        <v>1.0344827586206899</v>
      </c>
      <c r="AB125" s="4">
        <v>0.95833333333333404</v>
      </c>
      <c r="AC125" s="4">
        <v>0.95833333333333504</v>
      </c>
      <c r="AD125" s="6">
        <v>320</v>
      </c>
      <c r="AE125" s="5">
        <v>9200</v>
      </c>
      <c r="AF125">
        <v>720</v>
      </c>
      <c r="AG125"/>
      <c r="AH125"/>
      <c r="AI125"/>
      <c r="AJ125"/>
    </row>
    <row r="126" spans="1:36" x14ac:dyDescent="0.25">
      <c r="A126">
        <v>125</v>
      </c>
      <c r="B126" s="1">
        <v>46034</v>
      </c>
      <c r="C126" s="1">
        <v>46034</v>
      </c>
      <c r="D126" s="2">
        <v>0.5</v>
      </c>
      <c r="E126" s="2">
        <v>0.54166666666666663</v>
      </c>
      <c r="F126" s="3" t="s">
        <v>56</v>
      </c>
      <c r="G126" s="3" t="s">
        <v>202</v>
      </c>
      <c r="H126" s="3" t="s">
        <v>98</v>
      </c>
      <c r="I126" s="3" t="s">
        <v>59</v>
      </c>
      <c r="J126" s="3" t="s">
        <v>60</v>
      </c>
      <c r="K126" s="3" t="s">
        <v>61</v>
      </c>
      <c r="L126" s="3" t="s">
        <v>62</v>
      </c>
      <c r="M126">
        <v>80</v>
      </c>
      <c r="N126">
        <v>45</v>
      </c>
      <c r="O126">
        <v>60</v>
      </c>
      <c r="P126">
        <v>7</v>
      </c>
      <c r="Q126" s="3" t="s">
        <v>34</v>
      </c>
      <c r="R126">
        <v>72</v>
      </c>
      <c r="S126">
        <v>72</v>
      </c>
      <c r="T126">
        <v>0</v>
      </c>
      <c r="U126" s="3" t="s">
        <v>63</v>
      </c>
      <c r="V126" s="3" t="s">
        <v>64</v>
      </c>
      <c r="W126">
        <v>120</v>
      </c>
      <c r="X126">
        <v>0</v>
      </c>
      <c r="Y126">
        <v>53</v>
      </c>
      <c r="Z126" s="4">
        <v>0.88333333333333297</v>
      </c>
      <c r="AA126" s="4">
        <v>1.0188679245283001</v>
      </c>
      <c r="AB126" s="4">
        <v>1</v>
      </c>
      <c r="AC126" s="4">
        <v>0.89999999999999802</v>
      </c>
      <c r="AD126" s="6">
        <v>1120</v>
      </c>
      <c r="AE126" s="5">
        <v>8640</v>
      </c>
      <c r="AF126">
        <v>1120</v>
      </c>
      <c r="AG126"/>
      <c r="AH126"/>
      <c r="AI126"/>
      <c r="AJ126"/>
    </row>
    <row r="127" spans="1:36" x14ac:dyDescent="0.25">
      <c r="A127">
        <v>126</v>
      </c>
      <c r="B127" s="1">
        <v>46034</v>
      </c>
      <c r="C127" s="1">
        <v>46034</v>
      </c>
      <c r="D127" s="2">
        <v>0.54166666666666663</v>
      </c>
      <c r="E127" s="2">
        <v>0.58333333333333337</v>
      </c>
      <c r="F127" s="3" t="s">
        <v>56</v>
      </c>
      <c r="G127" s="3" t="s">
        <v>203</v>
      </c>
      <c r="H127" s="3" t="s">
        <v>91</v>
      </c>
      <c r="I127" s="3" t="s">
        <v>59</v>
      </c>
      <c r="J127" s="3" t="s">
        <v>60</v>
      </c>
      <c r="K127" s="3" t="s">
        <v>61</v>
      </c>
      <c r="L127" s="3" t="s">
        <v>62</v>
      </c>
      <c r="M127">
        <v>80</v>
      </c>
      <c r="N127">
        <v>45</v>
      </c>
      <c r="O127">
        <v>60</v>
      </c>
      <c r="P127">
        <v>26</v>
      </c>
      <c r="Q127" s="3" t="s">
        <v>68</v>
      </c>
      <c r="R127">
        <v>51</v>
      </c>
      <c r="S127">
        <v>30</v>
      </c>
      <c r="T127">
        <v>21</v>
      </c>
      <c r="U127" s="3" t="s">
        <v>69</v>
      </c>
      <c r="V127" s="3" t="s">
        <v>70</v>
      </c>
      <c r="W127">
        <v>120</v>
      </c>
      <c r="X127">
        <v>2520</v>
      </c>
      <c r="Y127">
        <v>34</v>
      </c>
      <c r="Z127" s="4">
        <v>0.56666666666666698</v>
      </c>
      <c r="AA127" s="4">
        <v>1.125</v>
      </c>
      <c r="AB127" s="4">
        <v>0.58823529411764697</v>
      </c>
      <c r="AC127" s="4">
        <v>0.375</v>
      </c>
      <c r="AD127" s="6">
        <v>4160</v>
      </c>
      <c r="AE127" s="5">
        <v>3600</v>
      </c>
      <c r="AF127">
        <v>6680</v>
      </c>
      <c r="AG127"/>
      <c r="AH127"/>
      <c r="AI127"/>
      <c r="AJ127"/>
    </row>
    <row r="128" spans="1:36" x14ac:dyDescent="0.25">
      <c r="A128">
        <v>127</v>
      </c>
      <c r="B128" s="1">
        <v>46034</v>
      </c>
      <c r="C128" s="1">
        <v>46034</v>
      </c>
      <c r="D128" s="2">
        <v>0.58333333333333337</v>
      </c>
      <c r="E128" s="2">
        <v>0.625</v>
      </c>
      <c r="F128" s="3" t="s">
        <v>56</v>
      </c>
      <c r="G128" s="3" t="s">
        <v>204</v>
      </c>
      <c r="H128" s="3" t="s">
        <v>84</v>
      </c>
      <c r="I128" s="3" t="s">
        <v>30</v>
      </c>
      <c r="J128" s="3" t="s">
        <v>31</v>
      </c>
      <c r="K128" s="3" t="s">
        <v>32</v>
      </c>
      <c r="L128" s="3" t="s">
        <v>33</v>
      </c>
      <c r="M128">
        <v>100</v>
      </c>
      <c r="N128">
        <v>36</v>
      </c>
      <c r="O128">
        <v>60</v>
      </c>
      <c r="P128">
        <v>6</v>
      </c>
      <c r="Q128" s="3" t="s">
        <v>34</v>
      </c>
      <c r="R128">
        <v>98</v>
      </c>
      <c r="S128">
        <v>96</v>
      </c>
      <c r="T128">
        <v>2</v>
      </c>
      <c r="U128" s="3" t="s">
        <v>72</v>
      </c>
      <c r="V128" s="3" t="s">
        <v>73</v>
      </c>
      <c r="W128">
        <v>50</v>
      </c>
      <c r="X128">
        <v>100</v>
      </c>
      <c r="Y128">
        <v>54</v>
      </c>
      <c r="Z128" s="4">
        <v>0.9</v>
      </c>
      <c r="AA128" s="4">
        <v>1.0888888888888899</v>
      </c>
      <c r="AB128" s="4">
        <v>0.97959183673469397</v>
      </c>
      <c r="AC128" s="4">
        <v>0.96000000000000096</v>
      </c>
      <c r="AD128" s="6">
        <v>500</v>
      </c>
      <c r="AE128" s="5">
        <v>4800</v>
      </c>
      <c r="AF128">
        <v>600</v>
      </c>
      <c r="AG128"/>
      <c r="AH128"/>
      <c r="AI128"/>
      <c r="AJ128"/>
    </row>
    <row r="129" spans="1:36" x14ac:dyDescent="0.25">
      <c r="A129">
        <v>128</v>
      </c>
      <c r="B129" s="1">
        <v>46034</v>
      </c>
      <c r="C129" s="1">
        <v>46034</v>
      </c>
      <c r="D129" s="2">
        <v>0.625</v>
      </c>
      <c r="E129" s="2">
        <v>0.66666666666666663</v>
      </c>
      <c r="F129" s="3" t="s">
        <v>56</v>
      </c>
      <c r="G129" s="3" t="s">
        <v>205</v>
      </c>
      <c r="H129" s="3" t="s">
        <v>98</v>
      </c>
      <c r="I129" s="3" t="s">
        <v>30</v>
      </c>
      <c r="J129" s="3" t="s">
        <v>31</v>
      </c>
      <c r="K129" s="3" t="s">
        <v>32</v>
      </c>
      <c r="L129" s="3" t="s">
        <v>33</v>
      </c>
      <c r="M129">
        <v>100</v>
      </c>
      <c r="N129">
        <v>36</v>
      </c>
      <c r="O129">
        <v>60</v>
      </c>
      <c r="P129">
        <v>3</v>
      </c>
      <c r="Q129" s="3" t="s">
        <v>78</v>
      </c>
      <c r="R129">
        <v>96</v>
      </c>
      <c r="S129">
        <v>96</v>
      </c>
      <c r="T129">
        <v>0</v>
      </c>
      <c r="U129" s="3" t="s">
        <v>75</v>
      </c>
      <c r="V129" s="3" t="s">
        <v>76</v>
      </c>
      <c r="W129">
        <v>50</v>
      </c>
      <c r="X129">
        <v>0</v>
      </c>
      <c r="Y129">
        <v>57</v>
      </c>
      <c r="Z129" s="4">
        <v>0.95</v>
      </c>
      <c r="AA129" s="4">
        <v>1.0105263157894699</v>
      </c>
      <c r="AB129" s="4">
        <v>1</v>
      </c>
      <c r="AC129" s="4">
        <v>0.95999999999999597</v>
      </c>
      <c r="AD129" s="6">
        <v>250</v>
      </c>
      <c r="AE129" s="5">
        <v>4800</v>
      </c>
      <c r="AF129">
        <v>250</v>
      </c>
      <c r="AG129"/>
      <c r="AH129"/>
      <c r="AI129"/>
      <c r="AJ129"/>
    </row>
    <row r="130" spans="1:36" x14ac:dyDescent="0.25">
      <c r="A130">
        <v>129</v>
      </c>
      <c r="B130" s="1">
        <v>46035</v>
      </c>
      <c r="C130" s="1">
        <v>46035</v>
      </c>
      <c r="D130" s="2">
        <v>0.29166666666666669</v>
      </c>
      <c r="E130" s="2">
        <v>0.33333333333333331</v>
      </c>
      <c r="F130" s="3" t="s">
        <v>27</v>
      </c>
      <c r="G130" s="3" t="s">
        <v>206</v>
      </c>
      <c r="H130" s="3" t="s">
        <v>84</v>
      </c>
      <c r="I130" s="3" t="s">
        <v>30</v>
      </c>
      <c r="J130" s="3" t="s">
        <v>31</v>
      </c>
      <c r="K130" s="3" t="s">
        <v>32</v>
      </c>
      <c r="L130" s="3" t="s">
        <v>33</v>
      </c>
      <c r="M130">
        <v>100</v>
      </c>
      <c r="N130">
        <v>36</v>
      </c>
      <c r="O130">
        <v>60</v>
      </c>
      <c r="P130">
        <v>9</v>
      </c>
      <c r="Q130" s="3" t="s">
        <v>34</v>
      </c>
      <c r="R130">
        <v>89</v>
      </c>
      <c r="S130">
        <v>86</v>
      </c>
      <c r="T130">
        <v>3</v>
      </c>
      <c r="U130" s="3" t="s">
        <v>35</v>
      </c>
      <c r="V130" s="3" t="s">
        <v>36</v>
      </c>
      <c r="W130">
        <v>50</v>
      </c>
      <c r="X130">
        <v>150</v>
      </c>
      <c r="Y130">
        <v>51</v>
      </c>
      <c r="Z130" s="4">
        <v>0.85</v>
      </c>
      <c r="AA130" s="4">
        <v>1.04705882352941</v>
      </c>
      <c r="AB130" s="4">
        <v>0.96629213483146104</v>
      </c>
      <c r="AC130" s="4">
        <v>0.85999999999999899</v>
      </c>
      <c r="AD130" s="6">
        <v>750</v>
      </c>
      <c r="AE130" s="5">
        <v>4300</v>
      </c>
      <c r="AF130">
        <v>900</v>
      </c>
      <c r="AG130"/>
      <c r="AH130"/>
      <c r="AI130"/>
      <c r="AJ130"/>
    </row>
    <row r="131" spans="1:36" x14ac:dyDescent="0.25">
      <c r="A131">
        <v>130</v>
      </c>
      <c r="B131" s="1">
        <v>46035</v>
      </c>
      <c r="C131" s="1">
        <v>46035</v>
      </c>
      <c r="D131" s="2">
        <v>0.33333333333333331</v>
      </c>
      <c r="E131" s="2">
        <v>0.375</v>
      </c>
      <c r="F131" s="3" t="s">
        <v>27</v>
      </c>
      <c r="G131" s="3" t="s">
        <v>207</v>
      </c>
      <c r="H131" s="3" t="s">
        <v>84</v>
      </c>
      <c r="I131" s="3" t="s">
        <v>30</v>
      </c>
      <c r="J131" s="3" t="s">
        <v>31</v>
      </c>
      <c r="K131" s="3" t="s">
        <v>32</v>
      </c>
      <c r="L131" s="3" t="s">
        <v>33</v>
      </c>
      <c r="M131">
        <v>100</v>
      </c>
      <c r="N131">
        <v>36</v>
      </c>
      <c r="O131">
        <v>60</v>
      </c>
      <c r="P131">
        <v>0</v>
      </c>
      <c r="Q131" s="3" t="s">
        <v>39</v>
      </c>
      <c r="R131">
        <v>91</v>
      </c>
      <c r="S131">
        <v>90</v>
      </c>
      <c r="T131">
        <v>1</v>
      </c>
      <c r="U131" s="3" t="s">
        <v>35</v>
      </c>
      <c r="V131" s="3" t="s">
        <v>36</v>
      </c>
      <c r="W131">
        <v>50</v>
      </c>
      <c r="X131">
        <v>50</v>
      </c>
      <c r="Y131">
        <v>60</v>
      </c>
      <c r="Z131" s="4">
        <v>1</v>
      </c>
      <c r="AA131" s="4">
        <v>0.91</v>
      </c>
      <c r="AB131" s="4">
        <v>0.98901098901098905</v>
      </c>
      <c r="AC131" s="4">
        <v>0.9</v>
      </c>
      <c r="AD131" s="6">
        <v>0</v>
      </c>
      <c r="AE131" s="5">
        <v>4500</v>
      </c>
      <c r="AF131">
        <v>50</v>
      </c>
      <c r="AG131"/>
      <c r="AH131"/>
      <c r="AI131"/>
      <c r="AJ131"/>
    </row>
    <row r="132" spans="1:36" x14ac:dyDescent="0.25">
      <c r="A132">
        <v>131</v>
      </c>
      <c r="B132" s="1">
        <v>46035</v>
      </c>
      <c r="C132" s="1">
        <v>46035</v>
      </c>
      <c r="D132" s="2">
        <v>0.375</v>
      </c>
      <c r="E132" s="2">
        <v>0.41666666666666669</v>
      </c>
      <c r="F132" s="3" t="s">
        <v>27</v>
      </c>
      <c r="G132" s="3" t="s">
        <v>208</v>
      </c>
      <c r="H132" s="3" t="s">
        <v>38</v>
      </c>
      <c r="I132" s="3" t="s">
        <v>30</v>
      </c>
      <c r="J132" s="3" t="s">
        <v>31</v>
      </c>
      <c r="K132" s="3" t="s">
        <v>32</v>
      </c>
      <c r="L132" s="3" t="s">
        <v>33</v>
      </c>
      <c r="M132">
        <v>100</v>
      </c>
      <c r="N132">
        <v>36</v>
      </c>
      <c r="O132">
        <v>60</v>
      </c>
      <c r="P132">
        <v>17</v>
      </c>
      <c r="Q132" s="3" t="s">
        <v>41</v>
      </c>
      <c r="R132">
        <v>69</v>
      </c>
      <c r="S132">
        <v>63</v>
      </c>
      <c r="T132">
        <v>6</v>
      </c>
      <c r="U132" s="3" t="s">
        <v>42</v>
      </c>
      <c r="V132" s="3" t="s">
        <v>43</v>
      </c>
      <c r="W132">
        <v>50</v>
      </c>
      <c r="X132">
        <v>300</v>
      </c>
      <c r="Y132">
        <v>43</v>
      </c>
      <c r="Z132" s="4">
        <v>0.71666666666666701</v>
      </c>
      <c r="AA132" s="4">
        <v>0.96279069767441905</v>
      </c>
      <c r="AB132" s="4">
        <v>0.91304347826086996</v>
      </c>
      <c r="AC132" s="4">
        <v>0.630000000000001</v>
      </c>
      <c r="AD132" s="6">
        <v>1416.6667</v>
      </c>
      <c r="AE132" s="5">
        <v>3150</v>
      </c>
      <c r="AF132">
        <v>1716.6667</v>
      </c>
      <c r="AG132"/>
      <c r="AH132"/>
      <c r="AI132"/>
      <c r="AJ132"/>
    </row>
    <row r="133" spans="1:36" x14ac:dyDescent="0.25">
      <c r="A133">
        <v>132</v>
      </c>
      <c r="B133" s="1">
        <v>46035</v>
      </c>
      <c r="C133" s="1">
        <v>46035</v>
      </c>
      <c r="D133" s="2">
        <v>0.41666666666666669</v>
      </c>
      <c r="E133" s="2">
        <v>0.45833333333333331</v>
      </c>
      <c r="F133" s="3" t="s">
        <v>27</v>
      </c>
      <c r="G133" s="3" t="s">
        <v>209</v>
      </c>
      <c r="H133" s="3" t="s">
        <v>98</v>
      </c>
      <c r="I133" s="3" t="s">
        <v>45</v>
      </c>
      <c r="J133" s="3" t="s">
        <v>46</v>
      </c>
      <c r="K133" s="3" t="s">
        <v>47</v>
      </c>
      <c r="L133" s="3" t="s">
        <v>33</v>
      </c>
      <c r="M133">
        <v>120</v>
      </c>
      <c r="N133">
        <v>30</v>
      </c>
      <c r="O133">
        <v>60</v>
      </c>
      <c r="P133">
        <v>2</v>
      </c>
      <c r="Q133" s="3" t="s">
        <v>48</v>
      </c>
      <c r="R133">
        <v>102</v>
      </c>
      <c r="S133">
        <v>99</v>
      </c>
      <c r="T133">
        <v>3</v>
      </c>
      <c r="U133" s="3" t="s">
        <v>49</v>
      </c>
      <c r="V133" s="3" t="s">
        <v>50</v>
      </c>
      <c r="W133">
        <v>80</v>
      </c>
      <c r="X133">
        <v>240</v>
      </c>
      <c r="Y133">
        <v>58</v>
      </c>
      <c r="Z133" s="4">
        <v>0.96666666666666701</v>
      </c>
      <c r="AA133" s="4">
        <v>0.87931034482758597</v>
      </c>
      <c r="AB133" s="4">
        <v>0.97058823529411797</v>
      </c>
      <c r="AC133" s="4">
        <v>0.82499999999999996</v>
      </c>
      <c r="AD133" s="6">
        <v>320</v>
      </c>
      <c r="AE133" s="5">
        <v>7920</v>
      </c>
      <c r="AF133">
        <v>560</v>
      </c>
      <c r="AG133"/>
      <c r="AH133"/>
      <c r="AI133"/>
      <c r="AJ133"/>
    </row>
    <row r="134" spans="1:36" x14ac:dyDescent="0.25">
      <c r="A134">
        <v>133</v>
      </c>
      <c r="B134" s="1">
        <v>46035</v>
      </c>
      <c r="C134" s="1">
        <v>46035</v>
      </c>
      <c r="D134" s="2">
        <v>0.45833333333333331</v>
      </c>
      <c r="E134" s="2">
        <v>0.5</v>
      </c>
      <c r="F134" s="3" t="s">
        <v>27</v>
      </c>
      <c r="G134" s="3" t="s">
        <v>210</v>
      </c>
      <c r="H134" s="3" t="s">
        <v>80</v>
      </c>
      <c r="I134" s="3" t="s">
        <v>45</v>
      </c>
      <c r="J134" s="3" t="s">
        <v>46</v>
      </c>
      <c r="K134" s="3" t="s">
        <v>47</v>
      </c>
      <c r="L134" s="3" t="s">
        <v>33</v>
      </c>
      <c r="M134">
        <v>120</v>
      </c>
      <c r="N134">
        <v>30</v>
      </c>
      <c r="O134">
        <v>60</v>
      </c>
      <c r="P134">
        <v>0</v>
      </c>
      <c r="Q134" s="3" t="s">
        <v>39</v>
      </c>
      <c r="R134">
        <v>119</v>
      </c>
      <c r="S134">
        <v>119</v>
      </c>
      <c r="T134">
        <v>0</v>
      </c>
      <c r="U134" s="3" t="s">
        <v>49</v>
      </c>
      <c r="V134" s="3" t="s">
        <v>50</v>
      </c>
      <c r="W134">
        <v>80</v>
      </c>
      <c r="X134">
        <v>0</v>
      </c>
      <c r="Y134">
        <v>60</v>
      </c>
      <c r="Z134" s="4">
        <v>1</v>
      </c>
      <c r="AA134" s="4">
        <v>0.99166666666666703</v>
      </c>
      <c r="AB134" s="4">
        <v>1</v>
      </c>
      <c r="AC134" s="4">
        <v>0.99166666666666703</v>
      </c>
      <c r="AD134" s="6">
        <v>0</v>
      </c>
      <c r="AE134" s="5">
        <v>9520</v>
      </c>
      <c r="AF134">
        <v>0</v>
      </c>
      <c r="AG134"/>
      <c r="AH134"/>
      <c r="AI134"/>
      <c r="AJ134"/>
    </row>
    <row r="135" spans="1:36" x14ac:dyDescent="0.25">
      <c r="A135">
        <v>134</v>
      </c>
      <c r="B135" s="1">
        <v>46035</v>
      </c>
      <c r="C135" s="1">
        <v>46035</v>
      </c>
      <c r="D135" s="2">
        <v>0.5</v>
      </c>
      <c r="E135" s="2">
        <v>0.54166666666666663</v>
      </c>
      <c r="F135" s="3" t="s">
        <v>27</v>
      </c>
      <c r="G135" s="3" t="s">
        <v>211</v>
      </c>
      <c r="H135" s="3" t="s">
        <v>80</v>
      </c>
      <c r="I135" s="3" t="s">
        <v>45</v>
      </c>
      <c r="J135" s="3" t="s">
        <v>46</v>
      </c>
      <c r="K135" s="3" t="s">
        <v>47</v>
      </c>
      <c r="L135" s="3" t="s">
        <v>33</v>
      </c>
      <c r="M135">
        <v>120</v>
      </c>
      <c r="N135">
        <v>30</v>
      </c>
      <c r="O135">
        <v>60</v>
      </c>
      <c r="P135">
        <v>9</v>
      </c>
      <c r="Q135" s="3" t="s">
        <v>53</v>
      </c>
      <c r="R135">
        <v>86</v>
      </c>
      <c r="S135">
        <v>80</v>
      </c>
      <c r="T135">
        <v>6</v>
      </c>
      <c r="U135" s="3" t="s">
        <v>54</v>
      </c>
      <c r="V135" s="3" t="s">
        <v>55</v>
      </c>
      <c r="W135">
        <v>80</v>
      </c>
      <c r="X135">
        <v>480</v>
      </c>
      <c r="Y135">
        <v>51</v>
      </c>
      <c r="Z135" s="4">
        <v>0.85</v>
      </c>
      <c r="AA135" s="4">
        <v>0.84313725490196101</v>
      </c>
      <c r="AB135" s="4">
        <v>0.93023255813953498</v>
      </c>
      <c r="AC135" s="4">
        <v>0.66666666666666696</v>
      </c>
      <c r="AD135" s="6">
        <v>1440</v>
      </c>
      <c r="AE135" s="5">
        <v>6400</v>
      </c>
      <c r="AF135">
        <v>1920</v>
      </c>
      <c r="AG135"/>
      <c r="AH135"/>
      <c r="AI135"/>
      <c r="AJ135"/>
    </row>
    <row r="136" spans="1:36" x14ac:dyDescent="0.25">
      <c r="A136">
        <v>135</v>
      </c>
      <c r="B136" s="1">
        <v>46035</v>
      </c>
      <c r="C136" s="1">
        <v>46035</v>
      </c>
      <c r="D136" s="2">
        <v>0.54166666666666663</v>
      </c>
      <c r="E136" s="2">
        <v>0.58333333333333337</v>
      </c>
      <c r="F136" s="3" t="s">
        <v>56</v>
      </c>
      <c r="G136" s="3" t="s">
        <v>212</v>
      </c>
      <c r="H136" s="3" t="s">
        <v>84</v>
      </c>
      <c r="I136" s="3" t="s">
        <v>59</v>
      </c>
      <c r="J136" s="3" t="s">
        <v>60</v>
      </c>
      <c r="K136" s="3" t="s">
        <v>61</v>
      </c>
      <c r="L136" s="3" t="s">
        <v>62</v>
      </c>
      <c r="M136">
        <v>80</v>
      </c>
      <c r="N136">
        <v>45</v>
      </c>
      <c r="O136">
        <v>60</v>
      </c>
      <c r="P136">
        <v>9</v>
      </c>
      <c r="Q136" s="3" t="s">
        <v>34</v>
      </c>
      <c r="R136">
        <v>80</v>
      </c>
      <c r="S136">
        <v>80</v>
      </c>
      <c r="T136">
        <v>0</v>
      </c>
      <c r="U136" s="3" t="s">
        <v>63</v>
      </c>
      <c r="V136" s="3" t="s">
        <v>64</v>
      </c>
      <c r="W136">
        <v>120</v>
      </c>
      <c r="X136">
        <v>0</v>
      </c>
      <c r="Y136">
        <v>51</v>
      </c>
      <c r="Z136" s="4">
        <v>0.85</v>
      </c>
      <c r="AA136" s="4">
        <v>1.1764705882352899</v>
      </c>
      <c r="AB136" s="4">
        <v>1</v>
      </c>
      <c r="AC136" s="4">
        <v>0.999999999999996</v>
      </c>
      <c r="AD136" s="6">
        <v>1440</v>
      </c>
      <c r="AE136" s="5">
        <v>9600</v>
      </c>
      <c r="AF136">
        <v>1440</v>
      </c>
      <c r="AG136"/>
      <c r="AH136"/>
      <c r="AI136"/>
      <c r="AJ136"/>
    </row>
    <row r="137" spans="1:36" x14ac:dyDescent="0.25">
      <c r="A137">
        <v>136</v>
      </c>
      <c r="B137" s="1">
        <v>46035</v>
      </c>
      <c r="C137" s="1">
        <v>46035</v>
      </c>
      <c r="D137" s="2">
        <v>0.58333333333333337</v>
      </c>
      <c r="E137" s="2">
        <v>0.625</v>
      </c>
      <c r="F137" s="3" t="s">
        <v>56</v>
      </c>
      <c r="G137" s="3" t="s">
        <v>213</v>
      </c>
      <c r="H137" s="3" t="s">
        <v>38</v>
      </c>
      <c r="I137" s="3" t="s">
        <v>59</v>
      </c>
      <c r="J137" s="3" t="s">
        <v>60</v>
      </c>
      <c r="K137" s="3" t="s">
        <v>61</v>
      </c>
      <c r="L137" s="3" t="s">
        <v>62</v>
      </c>
      <c r="M137">
        <v>80</v>
      </c>
      <c r="N137">
        <v>45</v>
      </c>
      <c r="O137">
        <v>60</v>
      </c>
      <c r="P137">
        <v>0</v>
      </c>
      <c r="Q137" s="3" t="s">
        <v>39</v>
      </c>
      <c r="R137">
        <v>72</v>
      </c>
      <c r="S137">
        <v>54</v>
      </c>
      <c r="T137">
        <v>18</v>
      </c>
      <c r="U137" s="3" t="s">
        <v>63</v>
      </c>
      <c r="V137" s="3" t="s">
        <v>64</v>
      </c>
      <c r="W137">
        <v>120</v>
      </c>
      <c r="X137">
        <v>2160</v>
      </c>
      <c r="Y137">
        <v>60</v>
      </c>
      <c r="Z137" s="4">
        <v>1</v>
      </c>
      <c r="AA137" s="4">
        <v>0.9</v>
      </c>
      <c r="AB137" s="4">
        <v>0.75</v>
      </c>
      <c r="AC137" s="4">
        <v>0.67500000000000004</v>
      </c>
      <c r="AD137" s="6">
        <v>0</v>
      </c>
      <c r="AE137" s="5">
        <v>6480</v>
      </c>
      <c r="AF137">
        <v>2160</v>
      </c>
      <c r="AG137"/>
      <c r="AH137"/>
      <c r="AI137"/>
      <c r="AJ137"/>
    </row>
    <row r="138" spans="1:36" x14ac:dyDescent="0.25">
      <c r="A138">
        <v>137</v>
      </c>
      <c r="B138" s="1">
        <v>46035</v>
      </c>
      <c r="C138" s="1">
        <v>46035</v>
      </c>
      <c r="D138" s="2">
        <v>0.625</v>
      </c>
      <c r="E138" s="2">
        <v>0.66666666666666663</v>
      </c>
      <c r="F138" s="3" t="s">
        <v>56</v>
      </c>
      <c r="G138" s="3" t="s">
        <v>214</v>
      </c>
      <c r="H138" s="3" t="s">
        <v>58</v>
      </c>
      <c r="I138" s="3" t="s">
        <v>59</v>
      </c>
      <c r="J138" s="3" t="s">
        <v>60</v>
      </c>
      <c r="K138" s="3" t="s">
        <v>61</v>
      </c>
      <c r="L138" s="3" t="s">
        <v>62</v>
      </c>
      <c r="M138">
        <v>80</v>
      </c>
      <c r="N138">
        <v>45</v>
      </c>
      <c r="O138">
        <v>60</v>
      </c>
      <c r="P138">
        <v>40</v>
      </c>
      <c r="Q138" s="3" t="s">
        <v>68</v>
      </c>
      <c r="R138">
        <v>54</v>
      </c>
      <c r="S138">
        <v>0</v>
      </c>
      <c r="T138">
        <v>54</v>
      </c>
      <c r="U138" s="3" t="s">
        <v>69</v>
      </c>
      <c r="V138" s="3" t="s">
        <v>70</v>
      </c>
      <c r="W138">
        <v>120</v>
      </c>
      <c r="X138">
        <v>6480</v>
      </c>
      <c r="Y138">
        <v>20</v>
      </c>
      <c r="Z138" s="4">
        <v>0.33333333333333298</v>
      </c>
      <c r="AA138" s="4">
        <v>2.0249999999999999</v>
      </c>
      <c r="AB138" s="4">
        <v>0</v>
      </c>
      <c r="AC138" s="4">
        <v>0</v>
      </c>
      <c r="AD138" s="6">
        <v>6400</v>
      </c>
      <c r="AE138" s="5">
        <v>0</v>
      </c>
      <c r="AF138">
        <v>12880</v>
      </c>
      <c r="AG138"/>
      <c r="AH138"/>
      <c r="AI138"/>
      <c r="AJ138"/>
    </row>
    <row r="139" spans="1:36" x14ac:dyDescent="0.25">
      <c r="A139">
        <v>138</v>
      </c>
      <c r="B139" s="1">
        <v>46035</v>
      </c>
      <c r="C139" s="1">
        <v>46035</v>
      </c>
      <c r="D139" s="2">
        <v>0.66666666666666663</v>
      </c>
      <c r="E139" s="2">
        <v>0.70833333333333337</v>
      </c>
      <c r="F139" s="3" t="s">
        <v>56</v>
      </c>
      <c r="G139" s="3" t="s">
        <v>215</v>
      </c>
      <c r="H139" s="3" t="s">
        <v>84</v>
      </c>
      <c r="I139" s="3" t="s">
        <v>30</v>
      </c>
      <c r="J139" s="3" t="s">
        <v>31</v>
      </c>
      <c r="K139" s="3" t="s">
        <v>32</v>
      </c>
      <c r="L139" s="3" t="s">
        <v>33</v>
      </c>
      <c r="M139">
        <v>100</v>
      </c>
      <c r="N139">
        <v>36</v>
      </c>
      <c r="O139">
        <v>60</v>
      </c>
      <c r="P139">
        <v>7</v>
      </c>
      <c r="Q139" s="3" t="s">
        <v>34</v>
      </c>
      <c r="R139">
        <v>99</v>
      </c>
      <c r="S139">
        <v>97</v>
      </c>
      <c r="T139">
        <v>2</v>
      </c>
      <c r="U139" s="3" t="s">
        <v>72</v>
      </c>
      <c r="V139" s="3" t="s">
        <v>73</v>
      </c>
      <c r="W139">
        <v>50</v>
      </c>
      <c r="X139">
        <v>100</v>
      </c>
      <c r="Y139">
        <v>53</v>
      </c>
      <c r="Z139" s="4">
        <v>0.88333333333333297</v>
      </c>
      <c r="AA139" s="4">
        <v>1.1207547169811301</v>
      </c>
      <c r="AB139" s="4">
        <v>0.97979797979798</v>
      </c>
      <c r="AC139" s="4">
        <v>0.96999999999999797</v>
      </c>
      <c r="AD139" s="6">
        <v>583.33330000000001</v>
      </c>
      <c r="AE139" s="5">
        <v>4850</v>
      </c>
      <c r="AF139">
        <v>683.33330000000001</v>
      </c>
      <c r="AG139"/>
      <c r="AH139"/>
      <c r="AI139"/>
      <c r="AJ139"/>
    </row>
    <row r="140" spans="1:36" x14ac:dyDescent="0.25">
      <c r="A140">
        <v>139</v>
      </c>
      <c r="B140" s="1">
        <v>46035</v>
      </c>
      <c r="C140" s="1">
        <v>46035</v>
      </c>
      <c r="D140" s="2">
        <v>0.70833333333333337</v>
      </c>
      <c r="E140" s="2">
        <v>0.75</v>
      </c>
      <c r="F140" s="3" t="s">
        <v>56</v>
      </c>
      <c r="G140" s="3" t="s">
        <v>216</v>
      </c>
      <c r="H140" s="3" t="s">
        <v>58</v>
      </c>
      <c r="I140" s="3" t="s">
        <v>30</v>
      </c>
      <c r="J140" s="3" t="s">
        <v>31</v>
      </c>
      <c r="K140" s="3" t="s">
        <v>32</v>
      </c>
      <c r="L140" s="3" t="s">
        <v>33</v>
      </c>
      <c r="M140">
        <v>100</v>
      </c>
      <c r="N140">
        <v>36</v>
      </c>
      <c r="O140">
        <v>60</v>
      </c>
      <c r="P140">
        <v>0</v>
      </c>
      <c r="Q140" s="3" t="s">
        <v>39</v>
      </c>
      <c r="R140">
        <v>103</v>
      </c>
      <c r="S140">
        <v>102</v>
      </c>
      <c r="T140">
        <v>1</v>
      </c>
      <c r="U140" s="3" t="s">
        <v>75</v>
      </c>
      <c r="V140" s="3" t="s">
        <v>76</v>
      </c>
      <c r="W140">
        <v>50</v>
      </c>
      <c r="X140">
        <v>50</v>
      </c>
      <c r="Y140">
        <v>60</v>
      </c>
      <c r="Z140" s="4">
        <v>1</v>
      </c>
      <c r="AA140" s="4">
        <v>1.03</v>
      </c>
      <c r="AB140" s="4">
        <v>0.990291262135922</v>
      </c>
      <c r="AC140" s="4">
        <v>1.02</v>
      </c>
      <c r="AD140" s="6">
        <v>0</v>
      </c>
      <c r="AE140" s="5">
        <v>5100</v>
      </c>
      <c r="AF140">
        <v>50</v>
      </c>
      <c r="AG140"/>
      <c r="AH140"/>
      <c r="AI140"/>
      <c r="AJ140"/>
    </row>
    <row r="141" spans="1:36" x14ac:dyDescent="0.25">
      <c r="A141">
        <v>140</v>
      </c>
      <c r="B141" s="1">
        <v>46035</v>
      </c>
      <c r="C141" s="1">
        <v>46035</v>
      </c>
      <c r="D141" s="2">
        <v>0.70833333333333337</v>
      </c>
      <c r="E141" s="2">
        <v>0.75</v>
      </c>
      <c r="F141" s="3" t="s">
        <v>56</v>
      </c>
      <c r="G141" s="3" t="s">
        <v>217</v>
      </c>
      <c r="H141" s="3" t="s">
        <v>84</v>
      </c>
      <c r="I141" s="3" t="s">
        <v>30</v>
      </c>
      <c r="J141" s="3" t="s">
        <v>31</v>
      </c>
      <c r="K141" s="3" t="s">
        <v>32</v>
      </c>
      <c r="L141" s="3" t="s">
        <v>33</v>
      </c>
      <c r="M141">
        <v>100</v>
      </c>
      <c r="N141">
        <v>36</v>
      </c>
      <c r="O141">
        <v>60</v>
      </c>
      <c r="P141">
        <v>4</v>
      </c>
      <c r="Q141" s="3" t="s">
        <v>78</v>
      </c>
      <c r="R141">
        <v>90</v>
      </c>
      <c r="S141">
        <v>90</v>
      </c>
      <c r="T141">
        <v>0</v>
      </c>
      <c r="U141" s="3" t="s">
        <v>75</v>
      </c>
      <c r="V141" s="3" t="s">
        <v>76</v>
      </c>
      <c r="W141">
        <v>50</v>
      </c>
      <c r="X141">
        <v>0</v>
      </c>
      <c r="Y141">
        <v>56</v>
      </c>
      <c r="Z141" s="4">
        <v>0.93333333333333302</v>
      </c>
      <c r="AA141" s="4">
        <v>0.96428571428571397</v>
      </c>
      <c r="AB141" s="4">
        <v>1</v>
      </c>
      <c r="AC141" s="4">
        <v>0.89999999999999902</v>
      </c>
      <c r="AD141" s="6">
        <v>333.33330000000001</v>
      </c>
      <c r="AE141" s="5">
        <v>4500</v>
      </c>
      <c r="AF141">
        <v>333.33330000000001</v>
      </c>
      <c r="AG141"/>
      <c r="AH141"/>
      <c r="AI141"/>
      <c r="AJ141"/>
    </row>
    <row r="142" spans="1:36" x14ac:dyDescent="0.25">
      <c r="A142">
        <v>141</v>
      </c>
      <c r="B142" s="1">
        <v>46036</v>
      </c>
      <c r="C142" s="1">
        <v>46036</v>
      </c>
      <c r="D142" s="2">
        <v>0.29166666666666669</v>
      </c>
      <c r="E142" s="2">
        <v>0.33333333333333331</v>
      </c>
      <c r="F142" s="3" t="s">
        <v>27</v>
      </c>
      <c r="G142" s="3" t="s">
        <v>218</v>
      </c>
      <c r="H142" s="3" t="s">
        <v>80</v>
      </c>
      <c r="I142" s="3" t="s">
        <v>45</v>
      </c>
      <c r="J142" s="3" t="s">
        <v>46</v>
      </c>
      <c r="K142" s="3" t="s">
        <v>47</v>
      </c>
      <c r="L142" s="3" t="s">
        <v>33</v>
      </c>
      <c r="M142">
        <v>120</v>
      </c>
      <c r="N142">
        <v>30</v>
      </c>
      <c r="O142">
        <v>60</v>
      </c>
      <c r="P142">
        <v>0</v>
      </c>
      <c r="Q142" s="3" t="s">
        <v>39</v>
      </c>
      <c r="R142">
        <v>114</v>
      </c>
      <c r="S142">
        <v>110</v>
      </c>
      <c r="T142">
        <v>4</v>
      </c>
      <c r="U142" s="3" t="s">
        <v>35</v>
      </c>
      <c r="V142" s="3" t="s">
        <v>36</v>
      </c>
      <c r="W142">
        <v>80</v>
      </c>
      <c r="X142">
        <v>320</v>
      </c>
      <c r="Y142">
        <v>60</v>
      </c>
      <c r="Z142" s="4">
        <v>1</v>
      </c>
      <c r="AA142" s="4">
        <v>0.95</v>
      </c>
      <c r="AB142" s="4">
        <v>0.96491228070175405</v>
      </c>
      <c r="AC142" s="4">
        <v>0.91666666666666596</v>
      </c>
      <c r="AD142" s="6">
        <v>0</v>
      </c>
      <c r="AE142" s="5">
        <v>8800</v>
      </c>
      <c r="AF142">
        <v>320</v>
      </c>
      <c r="AG142"/>
      <c r="AH142"/>
      <c r="AI142"/>
      <c r="AJ142"/>
    </row>
    <row r="143" spans="1:36" x14ac:dyDescent="0.25">
      <c r="A143">
        <v>142</v>
      </c>
      <c r="B143" s="1">
        <v>46036</v>
      </c>
      <c r="C143" s="1">
        <v>46036</v>
      </c>
      <c r="D143" s="2">
        <v>0.33333333333333331</v>
      </c>
      <c r="E143" s="2">
        <v>0.375</v>
      </c>
      <c r="F143" s="3" t="s">
        <v>27</v>
      </c>
      <c r="G143" s="3" t="s">
        <v>219</v>
      </c>
      <c r="H143" s="3" t="s">
        <v>58</v>
      </c>
      <c r="I143" s="3" t="s">
        <v>45</v>
      </c>
      <c r="J143" s="3" t="s">
        <v>46</v>
      </c>
      <c r="K143" s="3" t="s">
        <v>47</v>
      </c>
      <c r="L143" s="3" t="s">
        <v>33</v>
      </c>
      <c r="M143">
        <v>120</v>
      </c>
      <c r="N143">
        <v>30</v>
      </c>
      <c r="O143">
        <v>60</v>
      </c>
      <c r="P143">
        <v>14</v>
      </c>
      <c r="Q143" s="3" t="s">
        <v>82</v>
      </c>
      <c r="R143">
        <v>0</v>
      </c>
      <c r="S143">
        <v>0</v>
      </c>
      <c r="T143">
        <v>0</v>
      </c>
      <c r="U143" s="3" t="s">
        <v>42</v>
      </c>
      <c r="V143" s="3" t="s">
        <v>43</v>
      </c>
      <c r="W143">
        <v>80</v>
      </c>
      <c r="X143">
        <v>0</v>
      </c>
      <c r="Y143">
        <v>46</v>
      </c>
      <c r="Z143" s="4">
        <v>0.76666666666666705</v>
      </c>
      <c r="AA143" s="4">
        <v>0</v>
      </c>
      <c r="AB143" s="4">
        <v>0</v>
      </c>
      <c r="AC143" s="4">
        <v>0</v>
      </c>
      <c r="AD143" s="6">
        <v>2240</v>
      </c>
      <c r="AE143" s="5">
        <v>0</v>
      </c>
      <c r="AF143">
        <v>2240</v>
      </c>
      <c r="AG143"/>
      <c r="AH143"/>
      <c r="AI143"/>
      <c r="AJ143"/>
    </row>
    <row r="144" spans="1:36" x14ac:dyDescent="0.25">
      <c r="A144">
        <v>143</v>
      </c>
      <c r="B144" s="1">
        <v>46036</v>
      </c>
      <c r="C144" s="1">
        <v>46036</v>
      </c>
      <c r="D144" s="2">
        <v>0.375</v>
      </c>
      <c r="E144" s="2">
        <v>0.41666666666666669</v>
      </c>
      <c r="F144" s="3" t="s">
        <v>27</v>
      </c>
      <c r="G144" s="3" t="s">
        <v>220</v>
      </c>
      <c r="H144" s="3" t="s">
        <v>67</v>
      </c>
      <c r="I144" s="3" t="s">
        <v>45</v>
      </c>
      <c r="J144" s="3" t="s">
        <v>46</v>
      </c>
      <c r="K144" s="3" t="s">
        <v>47</v>
      </c>
      <c r="L144" s="3" t="s">
        <v>33</v>
      </c>
      <c r="M144">
        <v>120</v>
      </c>
      <c r="N144">
        <v>30</v>
      </c>
      <c r="O144">
        <v>60</v>
      </c>
      <c r="P144">
        <v>1</v>
      </c>
      <c r="Q144" s="3" t="s">
        <v>85</v>
      </c>
      <c r="R144">
        <v>118</v>
      </c>
      <c r="S144">
        <v>117</v>
      </c>
      <c r="T144">
        <v>1</v>
      </c>
      <c r="U144" s="3" t="s">
        <v>42</v>
      </c>
      <c r="V144" s="3" t="s">
        <v>43</v>
      </c>
      <c r="W144">
        <v>80</v>
      </c>
      <c r="X144">
        <v>80</v>
      </c>
      <c r="Y144">
        <v>59</v>
      </c>
      <c r="Z144" s="4">
        <v>0.98333333333333295</v>
      </c>
      <c r="AA144" s="4">
        <v>1</v>
      </c>
      <c r="AB144" s="4">
        <v>0.99152542372881403</v>
      </c>
      <c r="AC144" s="4">
        <v>0.97499999999999998</v>
      </c>
      <c r="AD144" s="6">
        <v>160</v>
      </c>
      <c r="AE144" s="5">
        <v>9360</v>
      </c>
      <c r="AF144">
        <v>240</v>
      </c>
      <c r="AG144"/>
      <c r="AH144"/>
      <c r="AI144"/>
      <c r="AJ144"/>
    </row>
    <row r="145" spans="1:36" x14ac:dyDescent="0.25">
      <c r="A145">
        <v>144</v>
      </c>
      <c r="B145" s="1">
        <v>46036</v>
      </c>
      <c r="C145" s="1">
        <v>46036</v>
      </c>
      <c r="D145" s="2">
        <v>0.41666666666666669</v>
      </c>
      <c r="E145" s="2">
        <v>0.45833333333333331</v>
      </c>
      <c r="F145" s="3" t="s">
        <v>27</v>
      </c>
      <c r="G145" s="3" t="s">
        <v>221</v>
      </c>
      <c r="H145" s="3" t="s">
        <v>98</v>
      </c>
      <c r="I145" s="3" t="s">
        <v>59</v>
      </c>
      <c r="J145" s="3" t="s">
        <v>60</v>
      </c>
      <c r="K145" s="3" t="s">
        <v>61</v>
      </c>
      <c r="L145" s="3" t="s">
        <v>62</v>
      </c>
      <c r="M145">
        <v>80</v>
      </c>
      <c r="N145">
        <v>45</v>
      </c>
      <c r="O145">
        <v>60</v>
      </c>
      <c r="P145">
        <v>0</v>
      </c>
      <c r="Q145" s="3" t="s">
        <v>39</v>
      </c>
      <c r="R145">
        <v>78</v>
      </c>
      <c r="S145">
        <v>65</v>
      </c>
      <c r="T145">
        <v>13</v>
      </c>
      <c r="U145" s="3" t="s">
        <v>49</v>
      </c>
      <c r="V145" s="3" t="s">
        <v>50</v>
      </c>
      <c r="W145">
        <v>120</v>
      </c>
      <c r="X145">
        <v>1560</v>
      </c>
      <c r="Y145">
        <v>60</v>
      </c>
      <c r="Z145" s="4">
        <v>1</v>
      </c>
      <c r="AA145" s="4">
        <v>0.97499999999999998</v>
      </c>
      <c r="AB145" s="4">
        <v>0.83333333333333404</v>
      </c>
      <c r="AC145" s="4">
        <v>0.812500000000001</v>
      </c>
      <c r="AD145" s="6">
        <v>0</v>
      </c>
      <c r="AE145" s="5">
        <v>7800</v>
      </c>
      <c r="AF145">
        <v>1560</v>
      </c>
      <c r="AG145"/>
      <c r="AH145"/>
      <c r="AI145"/>
      <c r="AJ145"/>
    </row>
    <row r="146" spans="1:36" x14ac:dyDescent="0.25">
      <c r="A146">
        <v>145</v>
      </c>
      <c r="B146" s="1">
        <v>46036</v>
      </c>
      <c r="C146" s="1">
        <v>46036</v>
      </c>
      <c r="D146" s="2">
        <v>0.45833333333333331</v>
      </c>
      <c r="E146" s="2">
        <v>0.5</v>
      </c>
      <c r="F146" s="3" t="s">
        <v>27</v>
      </c>
      <c r="G146" s="3" t="s">
        <v>222</v>
      </c>
      <c r="H146" s="3" t="s">
        <v>38</v>
      </c>
      <c r="I146" s="3" t="s">
        <v>59</v>
      </c>
      <c r="J146" s="3" t="s">
        <v>60</v>
      </c>
      <c r="K146" s="3" t="s">
        <v>61</v>
      </c>
      <c r="L146" s="3" t="s">
        <v>62</v>
      </c>
      <c r="M146">
        <v>80</v>
      </c>
      <c r="N146">
        <v>45</v>
      </c>
      <c r="O146">
        <v>60</v>
      </c>
      <c r="P146">
        <v>17</v>
      </c>
      <c r="Q146" s="3" t="s">
        <v>88</v>
      </c>
      <c r="R146">
        <v>70</v>
      </c>
      <c r="S146">
        <v>70</v>
      </c>
      <c r="T146">
        <v>0</v>
      </c>
      <c r="U146" s="3" t="s">
        <v>54</v>
      </c>
      <c r="V146" s="3" t="s">
        <v>55</v>
      </c>
      <c r="W146">
        <v>120</v>
      </c>
      <c r="X146">
        <v>0</v>
      </c>
      <c r="Y146">
        <v>43</v>
      </c>
      <c r="Z146" s="4">
        <v>0.71666666666666701</v>
      </c>
      <c r="AA146" s="4">
        <v>1.2209302325581399</v>
      </c>
      <c r="AB146" s="4">
        <v>1</v>
      </c>
      <c r="AC146" s="4">
        <v>0.875000000000001</v>
      </c>
      <c r="AD146" s="6">
        <v>2720</v>
      </c>
      <c r="AE146" s="5">
        <v>8400</v>
      </c>
      <c r="AF146">
        <v>2720</v>
      </c>
      <c r="AG146"/>
      <c r="AH146"/>
      <c r="AI146"/>
      <c r="AJ146"/>
    </row>
    <row r="147" spans="1:36" x14ac:dyDescent="0.25">
      <c r="A147">
        <v>146</v>
      </c>
      <c r="B147" s="1">
        <v>46036</v>
      </c>
      <c r="C147" s="1">
        <v>46036</v>
      </c>
      <c r="D147" s="2">
        <v>0.5</v>
      </c>
      <c r="E147" s="2">
        <v>0.54166666666666663</v>
      </c>
      <c r="F147" s="3" t="s">
        <v>56</v>
      </c>
      <c r="G147" s="3" t="s">
        <v>223</v>
      </c>
      <c r="H147" s="3" t="s">
        <v>67</v>
      </c>
      <c r="I147" s="3" t="s">
        <v>30</v>
      </c>
      <c r="J147" s="3" t="s">
        <v>31</v>
      </c>
      <c r="K147" s="3" t="s">
        <v>32</v>
      </c>
      <c r="L147" s="3" t="s">
        <v>33</v>
      </c>
      <c r="M147">
        <v>100</v>
      </c>
      <c r="N147">
        <v>36</v>
      </c>
      <c r="O147">
        <v>60</v>
      </c>
      <c r="P147">
        <v>0</v>
      </c>
      <c r="Q147" s="3" t="s">
        <v>39</v>
      </c>
      <c r="R147">
        <v>110</v>
      </c>
      <c r="S147">
        <v>108</v>
      </c>
      <c r="T147">
        <v>2</v>
      </c>
      <c r="U147" s="3" t="s">
        <v>63</v>
      </c>
      <c r="V147" s="3" t="s">
        <v>64</v>
      </c>
      <c r="W147">
        <v>50</v>
      </c>
      <c r="X147">
        <v>100</v>
      </c>
      <c r="Y147">
        <v>60</v>
      </c>
      <c r="Z147" s="4">
        <v>1</v>
      </c>
      <c r="AA147" s="4">
        <v>1.1000000000000001</v>
      </c>
      <c r="AB147" s="4">
        <v>0.98181818181818203</v>
      </c>
      <c r="AC147" s="4">
        <v>1.08</v>
      </c>
      <c r="AD147" s="6">
        <v>0</v>
      </c>
      <c r="AE147" s="5">
        <v>5400</v>
      </c>
      <c r="AF147">
        <v>100</v>
      </c>
      <c r="AG147"/>
      <c r="AH147"/>
      <c r="AI147"/>
      <c r="AJ147"/>
    </row>
    <row r="148" spans="1:36" x14ac:dyDescent="0.25">
      <c r="A148">
        <v>147</v>
      </c>
      <c r="B148" s="1">
        <v>46036</v>
      </c>
      <c r="C148" s="1">
        <v>46036</v>
      </c>
      <c r="D148" s="2">
        <v>0.54166666666666663</v>
      </c>
      <c r="E148" s="2">
        <v>0.58333333333333337</v>
      </c>
      <c r="F148" s="3" t="s">
        <v>56</v>
      </c>
      <c r="G148" s="3" t="s">
        <v>224</v>
      </c>
      <c r="H148" s="3" t="s">
        <v>80</v>
      </c>
      <c r="I148" s="3" t="s">
        <v>30</v>
      </c>
      <c r="J148" s="3" t="s">
        <v>31</v>
      </c>
      <c r="K148" s="3" t="s">
        <v>32</v>
      </c>
      <c r="L148" s="3" t="s">
        <v>33</v>
      </c>
      <c r="M148">
        <v>100</v>
      </c>
      <c r="N148">
        <v>36</v>
      </c>
      <c r="O148">
        <v>60</v>
      </c>
      <c r="P148">
        <v>8</v>
      </c>
      <c r="Q148" s="3" t="s">
        <v>92</v>
      </c>
      <c r="R148">
        <v>95</v>
      </c>
      <c r="S148">
        <v>95</v>
      </c>
      <c r="T148">
        <v>0</v>
      </c>
      <c r="U148" s="3" t="s">
        <v>69</v>
      </c>
      <c r="V148" s="3" t="s">
        <v>70</v>
      </c>
      <c r="W148">
        <v>50</v>
      </c>
      <c r="X148">
        <v>0</v>
      </c>
      <c r="Y148">
        <v>52</v>
      </c>
      <c r="Z148" s="4">
        <v>0.86666666666666703</v>
      </c>
      <c r="AA148" s="4">
        <v>1.09615384615385</v>
      </c>
      <c r="AB148" s="4">
        <v>1</v>
      </c>
      <c r="AC148" s="4">
        <v>0.95000000000000395</v>
      </c>
      <c r="AD148" s="6">
        <v>666.66669999999999</v>
      </c>
      <c r="AE148" s="5">
        <v>4750</v>
      </c>
      <c r="AF148">
        <v>666.66669999999999</v>
      </c>
      <c r="AG148"/>
      <c r="AH148"/>
      <c r="AI148"/>
      <c r="AJ148"/>
    </row>
    <row r="149" spans="1:36" x14ac:dyDescent="0.25">
      <c r="A149">
        <v>148</v>
      </c>
      <c r="B149" s="1">
        <v>46036</v>
      </c>
      <c r="C149" s="1">
        <v>46036</v>
      </c>
      <c r="D149" s="2">
        <v>0.58333333333333337</v>
      </c>
      <c r="E149" s="2">
        <v>0.625</v>
      </c>
      <c r="F149" s="3" t="s">
        <v>56</v>
      </c>
      <c r="G149" s="3" t="s">
        <v>225</v>
      </c>
      <c r="H149" s="3" t="s">
        <v>67</v>
      </c>
      <c r="I149" s="3" t="s">
        <v>45</v>
      </c>
      <c r="J149" s="3" t="s">
        <v>46</v>
      </c>
      <c r="K149" s="3" t="s">
        <v>47</v>
      </c>
      <c r="L149" s="3" t="s">
        <v>33</v>
      </c>
      <c r="M149">
        <v>120</v>
      </c>
      <c r="N149">
        <v>30</v>
      </c>
      <c r="O149">
        <v>60</v>
      </c>
      <c r="P149">
        <v>0</v>
      </c>
      <c r="Q149" s="3" t="s">
        <v>39</v>
      </c>
      <c r="R149">
        <v>117</v>
      </c>
      <c r="S149">
        <v>111</v>
      </c>
      <c r="T149">
        <v>6</v>
      </c>
      <c r="U149" s="3" t="s">
        <v>72</v>
      </c>
      <c r="V149" s="3" t="s">
        <v>73</v>
      </c>
      <c r="W149">
        <v>80</v>
      </c>
      <c r="X149">
        <v>480</v>
      </c>
      <c r="Y149">
        <v>60</v>
      </c>
      <c r="Z149" s="4">
        <v>1</v>
      </c>
      <c r="AA149" s="4">
        <v>0.97499999999999998</v>
      </c>
      <c r="AB149" s="4">
        <v>0.94871794871794901</v>
      </c>
      <c r="AC149" s="4">
        <v>0.92500000000000004</v>
      </c>
      <c r="AD149" s="6">
        <v>0</v>
      </c>
      <c r="AE149" s="5">
        <v>8880</v>
      </c>
      <c r="AF149">
        <v>480</v>
      </c>
      <c r="AG149"/>
      <c r="AH149"/>
      <c r="AI149"/>
      <c r="AJ149"/>
    </row>
    <row r="150" spans="1:36" x14ac:dyDescent="0.25">
      <c r="A150">
        <v>149</v>
      </c>
      <c r="B150" s="1">
        <v>46036</v>
      </c>
      <c r="C150" s="1">
        <v>46036</v>
      </c>
      <c r="D150" s="2">
        <v>0.625</v>
      </c>
      <c r="E150" s="2">
        <v>0.66666666666666663</v>
      </c>
      <c r="F150" s="3" t="s">
        <v>56</v>
      </c>
      <c r="G150" s="3" t="s">
        <v>226</v>
      </c>
      <c r="H150" s="3" t="s">
        <v>84</v>
      </c>
      <c r="I150" s="3" t="s">
        <v>45</v>
      </c>
      <c r="J150" s="3" t="s">
        <v>46</v>
      </c>
      <c r="K150" s="3" t="s">
        <v>47</v>
      </c>
      <c r="L150" s="3" t="s">
        <v>33</v>
      </c>
      <c r="M150">
        <v>120</v>
      </c>
      <c r="N150">
        <v>30</v>
      </c>
      <c r="O150">
        <v>60</v>
      </c>
      <c r="P150">
        <v>11</v>
      </c>
      <c r="Q150" s="3" t="s">
        <v>95</v>
      </c>
      <c r="R150">
        <v>85</v>
      </c>
      <c r="S150">
        <v>72</v>
      </c>
      <c r="T150">
        <v>13</v>
      </c>
      <c r="U150" s="3" t="s">
        <v>63</v>
      </c>
      <c r="V150" s="3" t="s">
        <v>64</v>
      </c>
      <c r="W150">
        <v>80</v>
      </c>
      <c r="X150">
        <v>1040</v>
      </c>
      <c r="Y150">
        <v>49</v>
      </c>
      <c r="Z150" s="4">
        <v>0.81666666666666698</v>
      </c>
      <c r="AA150" s="4">
        <v>0.86734693877550995</v>
      </c>
      <c r="AB150" s="4">
        <v>0.84705882352941197</v>
      </c>
      <c r="AC150" s="4">
        <v>0.6</v>
      </c>
      <c r="AD150" s="6">
        <v>1760</v>
      </c>
      <c r="AE150" s="5">
        <v>5760</v>
      </c>
      <c r="AF150">
        <v>2800</v>
      </c>
      <c r="AG150"/>
      <c r="AH150"/>
      <c r="AI150"/>
      <c r="AJ150"/>
    </row>
    <row r="151" spans="1:36" x14ac:dyDescent="0.25">
      <c r="A151">
        <v>150</v>
      </c>
      <c r="B151" s="1">
        <v>46036</v>
      </c>
      <c r="C151" s="1">
        <v>46036</v>
      </c>
      <c r="D151" s="2">
        <v>0.70833333333333337</v>
      </c>
      <c r="E151" s="2">
        <v>0.75</v>
      </c>
      <c r="F151" s="3" t="s">
        <v>96</v>
      </c>
      <c r="G151" s="3" t="s">
        <v>227</v>
      </c>
      <c r="H151" s="3" t="s">
        <v>98</v>
      </c>
      <c r="I151" s="3" t="s">
        <v>59</v>
      </c>
      <c r="J151" s="3" t="s">
        <v>60</v>
      </c>
      <c r="K151" s="3" t="s">
        <v>61</v>
      </c>
      <c r="L151" s="3" t="s">
        <v>62</v>
      </c>
      <c r="M151">
        <v>80</v>
      </c>
      <c r="N151">
        <v>45</v>
      </c>
      <c r="O151">
        <v>60</v>
      </c>
      <c r="P151">
        <v>0</v>
      </c>
      <c r="Q151" s="3" t="s">
        <v>39</v>
      </c>
      <c r="R151">
        <v>83</v>
      </c>
      <c r="S151">
        <v>83</v>
      </c>
      <c r="T151">
        <v>0</v>
      </c>
      <c r="U151" s="3" t="s">
        <v>99</v>
      </c>
      <c r="V151" s="3" t="s">
        <v>100</v>
      </c>
      <c r="W151">
        <v>120</v>
      </c>
      <c r="X151">
        <v>0</v>
      </c>
      <c r="Y151">
        <v>60</v>
      </c>
      <c r="Z151" s="4">
        <v>1</v>
      </c>
      <c r="AA151" s="4">
        <v>1.0375000000000001</v>
      </c>
      <c r="AB151" s="4">
        <v>1</v>
      </c>
      <c r="AC151" s="4">
        <v>1.0375000000000001</v>
      </c>
      <c r="AD151" s="6">
        <v>0</v>
      </c>
      <c r="AE151" s="5">
        <v>9960</v>
      </c>
      <c r="AF151">
        <v>0</v>
      </c>
      <c r="AG151"/>
      <c r="AH151"/>
      <c r="AI151"/>
      <c r="AJ151"/>
    </row>
    <row r="152" spans="1:36" x14ac:dyDescent="0.25">
      <c r="A152">
        <v>151</v>
      </c>
      <c r="B152" s="1">
        <v>46036</v>
      </c>
      <c r="C152" s="1">
        <v>46036</v>
      </c>
      <c r="D152" s="2">
        <v>0.75</v>
      </c>
      <c r="E152" s="2">
        <v>0.79166666666666663</v>
      </c>
      <c r="F152" s="3" t="s">
        <v>96</v>
      </c>
      <c r="G152" s="3" t="s">
        <v>228</v>
      </c>
      <c r="H152" s="3" t="s">
        <v>38</v>
      </c>
      <c r="I152" s="3" t="s">
        <v>59</v>
      </c>
      <c r="J152" s="3" t="s">
        <v>60</v>
      </c>
      <c r="K152" s="3" t="s">
        <v>61</v>
      </c>
      <c r="L152" s="3" t="s">
        <v>62</v>
      </c>
      <c r="M152">
        <v>80</v>
      </c>
      <c r="N152">
        <v>45</v>
      </c>
      <c r="O152">
        <v>60</v>
      </c>
      <c r="P152">
        <v>23</v>
      </c>
      <c r="Q152" s="3" t="s">
        <v>102</v>
      </c>
      <c r="R152">
        <v>62</v>
      </c>
      <c r="S152">
        <v>31</v>
      </c>
      <c r="T152">
        <v>31</v>
      </c>
      <c r="U152" s="3" t="s">
        <v>99</v>
      </c>
      <c r="V152" s="3" t="s">
        <v>100</v>
      </c>
      <c r="W152">
        <v>120</v>
      </c>
      <c r="X152">
        <v>3720</v>
      </c>
      <c r="Y152">
        <v>37</v>
      </c>
      <c r="Z152" s="4">
        <v>0.61666666666666703</v>
      </c>
      <c r="AA152" s="4">
        <v>1.2567567567567599</v>
      </c>
      <c r="AB152" s="4">
        <v>0.5</v>
      </c>
      <c r="AC152" s="4">
        <v>0.38750000000000101</v>
      </c>
      <c r="AD152" s="6">
        <v>3680</v>
      </c>
      <c r="AE152" s="5">
        <v>3720</v>
      </c>
      <c r="AF152">
        <v>7400</v>
      </c>
      <c r="AG152"/>
      <c r="AH152"/>
      <c r="AI152"/>
      <c r="AJ152"/>
    </row>
    <row r="153" spans="1:36" x14ac:dyDescent="0.25">
      <c r="A153">
        <v>152</v>
      </c>
      <c r="B153" s="1">
        <v>46037</v>
      </c>
      <c r="C153" s="1">
        <v>46037</v>
      </c>
      <c r="D153" s="2">
        <v>0.29166666666666669</v>
      </c>
      <c r="E153" s="2">
        <v>0.33333333333333331</v>
      </c>
      <c r="F153" s="3" t="s">
        <v>27</v>
      </c>
      <c r="G153" s="3" t="s">
        <v>229</v>
      </c>
      <c r="H153" s="3" t="s">
        <v>67</v>
      </c>
      <c r="I153" s="3" t="s">
        <v>30</v>
      </c>
      <c r="J153" s="3" t="s">
        <v>31</v>
      </c>
      <c r="K153" s="3" t="s">
        <v>32</v>
      </c>
      <c r="L153" s="3" t="s">
        <v>33</v>
      </c>
      <c r="M153">
        <v>100</v>
      </c>
      <c r="N153">
        <v>36</v>
      </c>
      <c r="O153">
        <v>60</v>
      </c>
      <c r="P153">
        <v>4</v>
      </c>
      <c r="Q153" s="3" t="s">
        <v>104</v>
      </c>
      <c r="R153">
        <v>85</v>
      </c>
      <c r="S153">
        <v>82</v>
      </c>
      <c r="T153">
        <v>3</v>
      </c>
      <c r="U153" s="3" t="s">
        <v>35</v>
      </c>
      <c r="V153" s="3" t="s">
        <v>36</v>
      </c>
      <c r="W153">
        <v>50</v>
      </c>
      <c r="X153">
        <v>150</v>
      </c>
      <c r="Y153">
        <v>56</v>
      </c>
      <c r="Z153" s="4">
        <v>0.93333333333333302</v>
      </c>
      <c r="AA153" s="4">
        <v>0.91071428571428603</v>
      </c>
      <c r="AB153" s="4">
        <v>0.96470588235294097</v>
      </c>
      <c r="AC153" s="4">
        <v>0.82</v>
      </c>
      <c r="AD153" s="6">
        <v>333.33330000000001</v>
      </c>
      <c r="AE153" s="5">
        <v>4100</v>
      </c>
      <c r="AF153">
        <v>483.33330000000001</v>
      </c>
      <c r="AG153"/>
      <c r="AH153"/>
      <c r="AI153"/>
      <c r="AJ153"/>
    </row>
    <row r="154" spans="1:36" x14ac:dyDescent="0.25">
      <c r="A154">
        <v>153</v>
      </c>
      <c r="B154" s="1">
        <v>46037</v>
      </c>
      <c r="C154" s="1">
        <v>46037</v>
      </c>
      <c r="D154" s="2">
        <v>0.33333333333333331</v>
      </c>
      <c r="E154" s="2">
        <v>0.375</v>
      </c>
      <c r="F154" s="3" t="s">
        <v>27</v>
      </c>
      <c r="G154" s="3" t="s">
        <v>230</v>
      </c>
      <c r="H154" s="3" t="s">
        <v>98</v>
      </c>
      <c r="I154" s="3" t="s">
        <v>30</v>
      </c>
      <c r="J154" s="3" t="s">
        <v>31</v>
      </c>
      <c r="K154" s="3" t="s">
        <v>32</v>
      </c>
      <c r="L154" s="3" t="s">
        <v>33</v>
      </c>
      <c r="M154">
        <v>100</v>
      </c>
      <c r="N154">
        <v>36</v>
      </c>
      <c r="O154">
        <v>60</v>
      </c>
      <c r="P154">
        <v>0</v>
      </c>
      <c r="Q154" s="3" t="s">
        <v>39</v>
      </c>
      <c r="R154">
        <v>97</v>
      </c>
      <c r="S154">
        <v>97</v>
      </c>
      <c r="T154">
        <v>0</v>
      </c>
      <c r="U154" s="3" t="s">
        <v>35</v>
      </c>
      <c r="V154" s="3" t="s">
        <v>36</v>
      </c>
      <c r="W154">
        <v>50</v>
      </c>
      <c r="X154">
        <v>0</v>
      </c>
      <c r="Y154">
        <v>60</v>
      </c>
      <c r="Z154" s="4">
        <v>1</v>
      </c>
      <c r="AA154" s="4">
        <v>0.97</v>
      </c>
      <c r="AB154" s="4">
        <v>1</v>
      </c>
      <c r="AC154" s="4">
        <v>0.97</v>
      </c>
      <c r="AD154" s="6">
        <v>0</v>
      </c>
      <c r="AE154" s="5">
        <v>4850</v>
      </c>
      <c r="AF154">
        <v>0</v>
      </c>
      <c r="AG154"/>
      <c r="AH154"/>
      <c r="AI154"/>
      <c r="AJ154"/>
    </row>
    <row r="155" spans="1:36" x14ac:dyDescent="0.25">
      <c r="A155">
        <v>154</v>
      </c>
      <c r="B155" s="1">
        <v>46037</v>
      </c>
      <c r="C155" s="1">
        <v>46037</v>
      </c>
      <c r="D155" s="2">
        <v>0.375</v>
      </c>
      <c r="E155" s="2">
        <v>0.41666666666666669</v>
      </c>
      <c r="F155" s="3" t="s">
        <v>27</v>
      </c>
      <c r="G155" s="3" t="s">
        <v>231</v>
      </c>
      <c r="H155" s="3" t="s">
        <v>29</v>
      </c>
      <c r="I155" s="3" t="s">
        <v>30</v>
      </c>
      <c r="J155" s="3" t="s">
        <v>31</v>
      </c>
      <c r="K155" s="3" t="s">
        <v>32</v>
      </c>
      <c r="L155" s="3" t="s">
        <v>33</v>
      </c>
      <c r="M155">
        <v>100</v>
      </c>
      <c r="N155">
        <v>36</v>
      </c>
      <c r="O155">
        <v>60</v>
      </c>
      <c r="P155">
        <v>7</v>
      </c>
      <c r="Q155" s="3" t="s">
        <v>34</v>
      </c>
      <c r="R155">
        <v>95</v>
      </c>
      <c r="S155">
        <v>92</v>
      </c>
      <c r="T155">
        <v>3</v>
      </c>
      <c r="U155" s="3" t="s">
        <v>35</v>
      </c>
      <c r="V155" s="3" t="s">
        <v>36</v>
      </c>
      <c r="W155">
        <v>50</v>
      </c>
      <c r="X155">
        <v>150</v>
      </c>
      <c r="Y155">
        <v>53</v>
      </c>
      <c r="Z155" s="4">
        <v>0.88333333333333297</v>
      </c>
      <c r="AA155" s="4">
        <v>1.07547169811321</v>
      </c>
      <c r="AB155" s="4">
        <v>0.96842105263157896</v>
      </c>
      <c r="AC155" s="4">
        <v>0.92000000000000204</v>
      </c>
      <c r="AD155" s="6">
        <v>583.33330000000001</v>
      </c>
      <c r="AE155" s="5">
        <v>4600</v>
      </c>
      <c r="AF155">
        <v>733.33330000000001</v>
      </c>
      <c r="AG155"/>
      <c r="AH155"/>
      <c r="AI155"/>
      <c r="AJ155"/>
    </row>
    <row r="156" spans="1:36" x14ac:dyDescent="0.25">
      <c r="A156">
        <v>155</v>
      </c>
      <c r="B156" s="1">
        <v>46037</v>
      </c>
      <c r="C156" s="1">
        <v>46037</v>
      </c>
      <c r="D156" s="2">
        <v>0.41666666666666669</v>
      </c>
      <c r="E156" s="2">
        <v>0.45833333333333331</v>
      </c>
      <c r="F156" s="3" t="s">
        <v>27</v>
      </c>
      <c r="G156" s="3" t="s">
        <v>232</v>
      </c>
      <c r="H156" s="3" t="s">
        <v>67</v>
      </c>
      <c r="I156" s="3" t="s">
        <v>30</v>
      </c>
      <c r="J156" s="3" t="s">
        <v>31</v>
      </c>
      <c r="K156" s="3" t="s">
        <v>32</v>
      </c>
      <c r="L156" s="3" t="s">
        <v>33</v>
      </c>
      <c r="M156">
        <v>100</v>
      </c>
      <c r="N156">
        <v>36</v>
      </c>
      <c r="O156">
        <v>60</v>
      </c>
      <c r="P156">
        <v>13</v>
      </c>
      <c r="Q156" s="3" t="s">
        <v>41</v>
      </c>
      <c r="R156">
        <v>82</v>
      </c>
      <c r="S156">
        <v>77</v>
      </c>
      <c r="T156">
        <v>5</v>
      </c>
      <c r="U156" s="3" t="s">
        <v>42</v>
      </c>
      <c r="V156" s="3" t="s">
        <v>43</v>
      </c>
      <c r="W156">
        <v>50</v>
      </c>
      <c r="X156">
        <v>250</v>
      </c>
      <c r="Y156">
        <v>47</v>
      </c>
      <c r="Z156" s="4">
        <v>0.78333333333333299</v>
      </c>
      <c r="AA156" s="4">
        <v>1.0468085106383</v>
      </c>
      <c r="AB156" s="4">
        <v>0.93902439024390205</v>
      </c>
      <c r="AC156" s="4">
        <v>0.77000000000000102</v>
      </c>
      <c r="AD156" s="6">
        <v>1083.3333</v>
      </c>
      <c r="AE156" s="5">
        <v>3850</v>
      </c>
      <c r="AF156">
        <v>1333.3333</v>
      </c>
      <c r="AG156"/>
      <c r="AH156"/>
      <c r="AI156"/>
      <c r="AJ156"/>
    </row>
    <row r="157" spans="1:36" x14ac:dyDescent="0.25">
      <c r="A157">
        <v>156</v>
      </c>
      <c r="B157" s="1">
        <v>46037</v>
      </c>
      <c r="C157" s="1">
        <v>46037</v>
      </c>
      <c r="D157" s="2">
        <v>0.45833333333333331</v>
      </c>
      <c r="E157" s="2">
        <v>0.5</v>
      </c>
      <c r="F157" s="3" t="s">
        <v>27</v>
      </c>
      <c r="G157" s="3" t="s">
        <v>233</v>
      </c>
      <c r="H157" s="3" t="s">
        <v>29</v>
      </c>
      <c r="I157" s="3" t="s">
        <v>45</v>
      </c>
      <c r="J157" s="3" t="s">
        <v>46</v>
      </c>
      <c r="K157" s="3" t="s">
        <v>47</v>
      </c>
      <c r="L157" s="3" t="s">
        <v>33</v>
      </c>
      <c r="M157">
        <v>120</v>
      </c>
      <c r="N157">
        <v>30</v>
      </c>
      <c r="O157">
        <v>60</v>
      </c>
      <c r="P157">
        <v>1</v>
      </c>
      <c r="Q157" s="3" t="s">
        <v>48</v>
      </c>
      <c r="R157">
        <v>107</v>
      </c>
      <c r="S157">
        <v>102</v>
      </c>
      <c r="T157">
        <v>5</v>
      </c>
      <c r="U157" s="3" t="s">
        <v>49</v>
      </c>
      <c r="V157" s="3" t="s">
        <v>50</v>
      </c>
      <c r="W157">
        <v>80</v>
      </c>
      <c r="X157">
        <v>400</v>
      </c>
      <c r="Y157">
        <v>59</v>
      </c>
      <c r="Z157" s="4">
        <v>0.98333333333333295</v>
      </c>
      <c r="AA157" s="4">
        <v>0.90677966101694896</v>
      </c>
      <c r="AB157" s="4">
        <v>0.95327102803738295</v>
      </c>
      <c r="AC157" s="4">
        <v>0.84999999999999898</v>
      </c>
      <c r="AD157" s="6">
        <v>160</v>
      </c>
      <c r="AE157" s="5">
        <v>8160</v>
      </c>
      <c r="AF157">
        <v>560</v>
      </c>
      <c r="AG157"/>
      <c r="AH157"/>
      <c r="AI157"/>
      <c r="AJ157"/>
    </row>
    <row r="158" spans="1:36" x14ac:dyDescent="0.25">
      <c r="A158">
        <v>157</v>
      </c>
      <c r="B158" s="1">
        <v>46037</v>
      </c>
      <c r="C158" s="1">
        <v>46037</v>
      </c>
      <c r="D158" s="2">
        <v>0.5</v>
      </c>
      <c r="E158" s="2">
        <v>0.54166666666666663</v>
      </c>
      <c r="F158" s="3" t="s">
        <v>56</v>
      </c>
      <c r="G158" s="3" t="s">
        <v>234</v>
      </c>
      <c r="H158" s="3" t="s">
        <v>80</v>
      </c>
      <c r="I158" s="3" t="s">
        <v>59</v>
      </c>
      <c r="J158" s="3" t="s">
        <v>60</v>
      </c>
      <c r="K158" s="3" t="s">
        <v>61</v>
      </c>
      <c r="L158" s="3" t="s">
        <v>62</v>
      </c>
      <c r="M158">
        <v>80</v>
      </c>
      <c r="N158">
        <v>45</v>
      </c>
      <c r="O158">
        <v>60</v>
      </c>
      <c r="P158">
        <v>6</v>
      </c>
      <c r="Q158" s="3" t="s">
        <v>34</v>
      </c>
      <c r="R158">
        <v>78</v>
      </c>
      <c r="S158">
        <v>78</v>
      </c>
      <c r="T158">
        <v>0</v>
      </c>
      <c r="U158" s="3" t="s">
        <v>63</v>
      </c>
      <c r="V158" s="3" t="s">
        <v>64</v>
      </c>
      <c r="W158">
        <v>120</v>
      </c>
      <c r="X158">
        <v>0</v>
      </c>
      <c r="Y158">
        <v>54</v>
      </c>
      <c r="Z158" s="4">
        <v>0.9</v>
      </c>
      <c r="AA158" s="4">
        <v>1.0833333333333299</v>
      </c>
      <c r="AB158" s="4">
        <v>1</v>
      </c>
      <c r="AC158" s="4">
        <v>0.97499999999999698</v>
      </c>
      <c r="AD158" s="6">
        <v>960</v>
      </c>
      <c r="AE158" s="5">
        <v>9360</v>
      </c>
      <c r="AF158">
        <v>960</v>
      </c>
      <c r="AG158"/>
      <c r="AH158"/>
      <c r="AI158"/>
      <c r="AJ158"/>
    </row>
    <row r="159" spans="1:36" x14ac:dyDescent="0.25">
      <c r="A159">
        <v>158</v>
      </c>
      <c r="B159" s="1">
        <v>46037</v>
      </c>
      <c r="C159" s="1">
        <v>46037</v>
      </c>
      <c r="D159" s="2">
        <v>0.54166666666666663</v>
      </c>
      <c r="E159" s="2">
        <v>0.58333333333333337</v>
      </c>
      <c r="F159" s="3" t="s">
        <v>56</v>
      </c>
      <c r="G159" s="3" t="s">
        <v>235</v>
      </c>
      <c r="H159" s="3" t="s">
        <v>58</v>
      </c>
      <c r="I159" s="3" t="s">
        <v>59</v>
      </c>
      <c r="J159" s="3" t="s">
        <v>60</v>
      </c>
      <c r="K159" s="3" t="s">
        <v>61</v>
      </c>
      <c r="L159" s="3" t="s">
        <v>62</v>
      </c>
      <c r="M159">
        <v>80</v>
      </c>
      <c r="N159">
        <v>45</v>
      </c>
      <c r="O159">
        <v>60</v>
      </c>
      <c r="P159">
        <v>29</v>
      </c>
      <c r="Q159" s="3" t="s">
        <v>68</v>
      </c>
      <c r="R159">
        <v>50</v>
      </c>
      <c r="S159">
        <v>0</v>
      </c>
      <c r="T159">
        <v>50</v>
      </c>
      <c r="U159" s="3" t="s">
        <v>69</v>
      </c>
      <c r="V159" s="3" t="s">
        <v>70</v>
      </c>
      <c r="W159">
        <v>120</v>
      </c>
      <c r="X159">
        <v>6000</v>
      </c>
      <c r="Y159">
        <v>31</v>
      </c>
      <c r="Z159" s="4">
        <v>0.51666666666666705</v>
      </c>
      <c r="AA159" s="4">
        <v>1.2096774193548401</v>
      </c>
      <c r="AB159" s="4">
        <v>0</v>
      </c>
      <c r="AC159" s="4">
        <v>0</v>
      </c>
      <c r="AD159" s="6">
        <v>4640</v>
      </c>
      <c r="AE159" s="5">
        <v>0</v>
      </c>
      <c r="AF159">
        <v>10640</v>
      </c>
      <c r="AG159"/>
      <c r="AH159"/>
      <c r="AI159"/>
      <c r="AJ159"/>
    </row>
    <row r="160" spans="1:36" x14ac:dyDescent="0.25">
      <c r="A160">
        <v>159</v>
      </c>
      <c r="B160" s="1">
        <v>46037</v>
      </c>
      <c r="C160" s="1">
        <v>46037</v>
      </c>
      <c r="D160" s="2">
        <v>0.58333333333333337</v>
      </c>
      <c r="E160" s="2">
        <v>0.625</v>
      </c>
      <c r="F160" s="3" t="s">
        <v>56</v>
      </c>
      <c r="G160" s="3" t="s">
        <v>236</v>
      </c>
      <c r="H160" s="3" t="s">
        <v>84</v>
      </c>
      <c r="I160" s="3" t="s">
        <v>30</v>
      </c>
      <c r="J160" s="3" t="s">
        <v>31</v>
      </c>
      <c r="K160" s="3" t="s">
        <v>32</v>
      </c>
      <c r="L160" s="3" t="s">
        <v>33</v>
      </c>
      <c r="M160">
        <v>100</v>
      </c>
      <c r="N160">
        <v>36</v>
      </c>
      <c r="O160">
        <v>60</v>
      </c>
      <c r="P160">
        <v>8</v>
      </c>
      <c r="Q160" s="3" t="s">
        <v>34</v>
      </c>
      <c r="R160">
        <v>87</v>
      </c>
      <c r="S160">
        <v>84</v>
      </c>
      <c r="T160">
        <v>3</v>
      </c>
      <c r="U160" s="3" t="s">
        <v>72</v>
      </c>
      <c r="V160" s="3" t="s">
        <v>73</v>
      </c>
      <c r="W160">
        <v>50</v>
      </c>
      <c r="X160">
        <v>150</v>
      </c>
      <c r="Y160">
        <v>52</v>
      </c>
      <c r="Z160" s="4">
        <v>0.86666666666666703</v>
      </c>
      <c r="AA160" s="4">
        <v>1.0038461538461501</v>
      </c>
      <c r="AB160" s="4">
        <v>0.96551724137931005</v>
      </c>
      <c r="AC160" s="4">
        <v>0.83999999999999697</v>
      </c>
      <c r="AD160" s="6">
        <v>666.66669999999999</v>
      </c>
      <c r="AE160" s="5">
        <v>4200</v>
      </c>
      <c r="AF160">
        <v>816.66669999999999</v>
      </c>
      <c r="AG160"/>
      <c r="AH160"/>
      <c r="AI160"/>
      <c r="AJ160"/>
    </row>
    <row r="161" spans="1:36" x14ac:dyDescent="0.25">
      <c r="A161">
        <v>160</v>
      </c>
      <c r="B161" s="1">
        <v>46037</v>
      </c>
      <c r="C161" s="1">
        <v>46037</v>
      </c>
      <c r="D161" s="2">
        <v>0.625</v>
      </c>
      <c r="E161" s="2">
        <v>0.66666666666666663</v>
      </c>
      <c r="F161" s="3" t="s">
        <v>56</v>
      </c>
      <c r="G161" s="3" t="s">
        <v>237</v>
      </c>
      <c r="H161" s="3" t="s">
        <v>91</v>
      </c>
      <c r="I161" s="3" t="s">
        <v>30</v>
      </c>
      <c r="J161" s="3" t="s">
        <v>31</v>
      </c>
      <c r="K161" s="3" t="s">
        <v>32</v>
      </c>
      <c r="L161" s="3" t="s">
        <v>33</v>
      </c>
      <c r="M161">
        <v>100</v>
      </c>
      <c r="N161">
        <v>36</v>
      </c>
      <c r="O161">
        <v>60</v>
      </c>
      <c r="P161">
        <v>3</v>
      </c>
      <c r="Q161" s="3" t="s">
        <v>78</v>
      </c>
      <c r="R161">
        <v>93</v>
      </c>
      <c r="S161">
        <v>93</v>
      </c>
      <c r="T161">
        <v>0</v>
      </c>
      <c r="U161" s="3" t="s">
        <v>75</v>
      </c>
      <c r="V161" s="3" t="s">
        <v>76</v>
      </c>
      <c r="W161">
        <v>50</v>
      </c>
      <c r="X161">
        <v>0</v>
      </c>
      <c r="Y161">
        <v>57</v>
      </c>
      <c r="Z161" s="4">
        <v>0.95</v>
      </c>
      <c r="AA161" s="4">
        <v>0.97894736842105201</v>
      </c>
      <c r="AB161" s="4">
        <v>1</v>
      </c>
      <c r="AC161" s="4">
        <v>0.92999999999999905</v>
      </c>
      <c r="AD161" s="6">
        <v>250</v>
      </c>
      <c r="AE161" s="5">
        <v>4650</v>
      </c>
      <c r="AF161">
        <v>250</v>
      </c>
      <c r="AG161"/>
      <c r="AH161"/>
      <c r="AI161"/>
      <c r="AJ161"/>
    </row>
    <row r="162" spans="1:36" x14ac:dyDescent="0.25">
      <c r="A162">
        <v>161</v>
      </c>
      <c r="B162" s="1">
        <v>46038</v>
      </c>
      <c r="C162" s="1">
        <v>46038</v>
      </c>
      <c r="D162" s="2">
        <v>0.29166666666666669</v>
      </c>
      <c r="E162" s="2">
        <v>0.33333333333333331</v>
      </c>
      <c r="F162" s="3" t="s">
        <v>27</v>
      </c>
      <c r="G162" s="3" t="s">
        <v>238</v>
      </c>
      <c r="H162" s="3" t="s">
        <v>84</v>
      </c>
      <c r="I162" s="3" t="s">
        <v>30</v>
      </c>
      <c r="J162" s="3" t="s">
        <v>31</v>
      </c>
      <c r="K162" s="3" t="s">
        <v>32</v>
      </c>
      <c r="L162" s="3" t="s">
        <v>33</v>
      </c>
      <c r="M162">
        <v>100</v>
      </c>
      <c r="N162">
        <v>36</v>
      </c>
      <c r="O162">
        <v>60</v>
      </c>
      <c r="P162">
        <v>9</v>
      </c>
      <c r="Q162" s="3" t="s">
        <v>34</v>
      </c>
      <c r="R162">
        <v>95</v>
      </c>
      <c r="S162">
        <v>93</v>
      </c>
      <c r="T162">
        <v>2</v>
      </c>
      <c r="U162" s="3" t="s">
        <v>35</v>
      </c>
      <c r="V162" s="3" t="s">
        <v>36</v>
      </c>
      <c r="W162">
        <v>50</v>
      </c>
      <c r="X162">
        <v>100</v>
      </c>
      <c r="Y162">
        <v>51</v>
      </c>
      <c r="Z162" s="4">
        <v>0.85</v>
      </c>
      <c r="AA162" s="4">
        <v>1.1176470588235301</v>
      </c>
      <c r="AB162" s="4">
        <v>0.97894736842105301</v>
      </c>
      <c r="AC162" s="4">
        <v>0.93000000000000105</v>
      </c>
      <c r="AD162" s="6">
        <v>750</v>
      </c>
      <c r="AE162" s="5">
        <v>4650</v>
      </c>
      <c r="AF162">
        <v>850</v>
      </c>
      <c r="AG162"/>
      <c r="AH162"/>
      <c r="AI162"/>
      <c r="AJ162"/>
    </row>
    <row r="163" spans="1:36" x14ac:dyDescent="0.25">
      <c r="A163">
        <v>162</v>
      </c>
      <c r="B163" s="1">
        <v>46038</v>
      </c>
      <c r="C163" s="1">
        <v>46038</v>
      </c>
      <c r="D163" s="2">
        <v>0.33333333333333331</v>
      </c>
      <c r="E163" s="2">
        <v>0.375</v>
      </c>
      <c r="F163" s="3" t="s">
        <v>27</v>
      </c>
      <c r="G163" s="3" t="s">
        <v>239</v>
      </c>
      <c r="H163" s="3" t="s">
        <v>91</v>
      </c>
      <c r="I163" s="3" t="s">
        <v>30</v>
      </c>
      <c r="J163" s="3" t="s">
        <v>31</v>
      </c>
      <c r="K163" s="3" t="s">
        <v>32</v>
      </c>
      <c r="L163" s="3" t="s">
        <v>33</v>
      </c>
      <c r="M163">
        <v>100</v>
      </c>
      <c r="N163">
        <v>36</v>
      </c>
      <c r="O163">
        <v>60</v>
      </c>
      <c r="P163">
        <v>0</v>
      </c>
      <c r="Q163" s="3" t="s">
        <v>39</v>
      </c>
      <c r="R163">
        <v>99</v>
      </c>
      <c r="S163">
        <v>98</v>
      </c>
      <c r="T163">
        <v>1</v>
      </c>
      <c r="U163" s="3" t="s">
        <v>35</v>
      </c>
      <c r="V163" s="3" t="s">
        <v>36</v>
      </c>
      <c r="W163">
        <v>50</v>
      </c>
      <c r="X163">
        <v>50</v>
      </c>
      <c r="Y163">
        <v>60</v>
      </c>
      <c r="Z163" s="4">
        <v>1</v>
      </c>
      <c r="AA163" s="4">
        <v>0.99</v>
      </c>
      <c r="AB163" s="4">
        <v>0.98989898989898994</v>
      </c>
      <c r="AC163" s="4">
        <v>0.98</v>
      </c>
      <c r="AD163" s="6">
        <v>0</v>
      </c>
      <c r="AE163" s="5">
        <v>4900</v>
      </c>
      <c r="AF163">
        <v>50</v>
      </c>
      <c r="AG163"/>
      <c r="AH163"/>
      <c r="AI163"/>
      <c r="AJ163"/>
    </row>
    <row r="164" spans="1:36" x14ac:dyDescent="0.25">
      <c r="A164">
        <v>163</v>
      </c>
      <c r="B164" s="1">
        <v>46038</v>
      </c>
      <c r="C164" s="1">
        <v>46038</v>
      </c>
      <c r="D164" s="2">
        <v>0.375</v>
      </c>
      <c r="E164" s="2">
        <v>0.41666666666666669</v>
      </c>
      <c r="F164" s="3" t="s">
        <v>27</v>
      </c>
      <c r="G164" s="3" t="s">
        <v>240</v>
      </c>
      <c r="H164" s="3" t="s">
        <v>67</v>
      </c>
      <c r="I164" s="3" t="s">
        <v>30</v>
      </c>
      <c r="J164" s="3" t="s">
        <v>31</v>
      </c>
      <c r="K164" s="3" t="s">
        <v>32</v>
      </c>
      <c r="L164" s="3" t="s">
        <v>33</v>
      </c>
      <c r="M164">
        <v>100</v>
      </c>
      <c r="N164">
        <v>36</v>
      </c>
      <c r="O164">
        <v>60</v>
      </c>
      <c r="P164">
        <v>15</v>
      </c>
      <c r="Q164" s="3" t="s">
        <v>41</v>
      </c>
      <c r="R164">
        <v>69</v>
      </c>
      <c r="S164">
        <v>63</v>
      </c>
      <c r="T164">
        <v>6</v>
      </c>
      <c r="U164" s="3" t="s">
        <v>42</v>
      </c>
      <c r="V164" s="3" t="s">
        <v>43</v>
      </c>
      <c r="W164">
        <v>50</v>
      </c>
      <c r="X164">
        <v>300</v>
      </c>
      <c r="Y164">
        <v>45</v>
      </c>
      <c r="Z164" s="4">
        <v>0.75</v>
      </c>
      <c r="AA164" s="4">
        <v>0.92</v>
      </c>
      <c r="AB164" s="4">
        <v>0.91304347826086996</v>
      </c>
      <c r="AC164" s="4">
        <v>0.63</v>
      </c>
      <c r="AD164" s="6">
        <v>1250</v>
      </c>
      <c r="AE164" s="5">
        <v>3150</v>
      </c>
      <c r="AF164">
        <v>1550</v>
      </c>
      <c r="AG164"/>
      <c r="AH164"/>
      <c r="AI164"/>
      <c r="AJ164"/>
    </row>
    <row r="165" spans="1:36" x14ac:dyDescent="0.25">
      <c r="A165">
        <v>164</v>
      </c>
      <c r="B165" s="1">
        <v>46038</v>
      </c>
      <c r="C165" s="1">
        <v>46038</v>
      </c>
      <c r="D165" s="2">
        <v>0.41666666666666669</v>
      </c>
      <c r="E165" s="2">
        <v>0.45833333333333331</v>
      </c>
      <c r="F165" s="3" t="s">
        <v>27</v>
      </c>
      <c r="G165" s="3" t="s">
        <v>241</v>
      </c>
      <c r="H165" s="3" t="s">
        <v>91</v>
      </c>
      <c r="I165" s="3" t="s">
        <v>45</v>
      </c>
      <c r="J165" s="3" t="s">
        <v>46</v>
      </c>
      <c r="K165" s="3" t="s">
        <v>47</v>
      </c>
      <c r="L165" s="3" t="s">
        <v>33</v>
      </c>
      <c r="M165">
        <v>120</v>
      </c>
      <c r="N165">
        <v>30</v>
      </c>
      <c r="O165">
        <v>60</v>
      </c>
      <c r="P165">
        <v>1</v>
      </c>
      <c r="Q165" s="3" t="s">
        <v>48</v>
      </c>
      <c r="R165">
        <v>120</v>
      </c>
      <c r="S165">
        <v>117</v>
      </c>
      <c r="T165">
        <v>3</v>
      </c>
      <c r="U165" s="3" t="s">
        <v>49</v>
      </c>
      <c r="V165" s="3" t="s">
        <v>50</v>
      </c>
      <c r="W165">
        <v>80</v>
      </c>
      <c r="X165">
        <v>240</v>
      </c>
      <c r="Y165">
        <v>59</v>
      </c>
      <c r="Z165" s="4">
        <v>0.98333333333333295</v>
      </c>
      <c r="AA165" s="4">
        <v>1.0169491525423699</v>
      </c>
      <c r="AB165" s="4">
        <v>0.97499999999999998</v>
      </c>
      <c r="AC165" s="4">
        <v>0.97499999999999698</v>
      </c>
      <c r="AD165" s="6">
        <v>160</v>
      </c>
      <c r="AE165" s="5">
        <v>9360</v>
      </c>
      <c r="AF165">
        <v>400</v>
      </c>
      <c r="AG165"/>
      <c r="AH165"/>
      <c r="AI165"/>
      <c r="AJ165"/>
    </row>
    <row r="166" spans="1:36" x14ac:dyDescent="0.25">
      <c r="A166">
        <v>165</v>
      </c>
      <c r="B166" s="1">
        <v>46038</v>
      </c>
      <c r="C166" s="1">
        <v>46038</v>
      </c>
      <c r="D166" s="2">
        <v>0.45833333333333331</v>
      </c>
      <c r="E166" s="2">
        <v>0.5</v>
      </c>
      <c r="F166" s="3" t="s">
        <v>27</v>
      </c>
      <c r="G166" s="3" t="s">
        <v>242</v>
      </c>
      <c r="H166" s="3" t="s">
        <v>80</v>
      </c>
      <c r="I166" s="3" t="s">
        <v>45</v>
      </c>
      <c r="J166" s="3" t="s">
        <v>46</v>
      </c>
      <c r="K166" s="3" t="s">
        <v>47</v>
      </c>
      <c r="L166" s="3" t="s">
        <v>33</v>
      </c>
      <c r="M166">
        <v>120</v>
      </c>
      <c r="N166">
        <v>30</v>
      </c>
      <c r="O166">
        <v>60</v>
      </c>
      <c r="P166">
        <v>0</v>
      </c>
      <c r="Q166" s="3" t="s">
        <v>39</v>
      </c>
      <c r="R166">
        <v>106</v>
      </c>
      <c r="S166">
        <v>106</v>
      </c>
      <c r="T166">
        <v>0</v>
      </c>
      <c r="U166" s="3" t="s">
        <v>49</v>
      </c>
      <c r="V166" s="3" t="s">
        <v>50</v>
      </c>
      <c r="W166">
        <v>80</v>
      </c>
      <c r="X166">
        <v>0</v>
      </c>
      <c r="Y166">
        <v>60</v>
      </c>
      <c r="Z166" s="4">
        <v>1</v>
      </c>
      <c r="AA166" s="4">
        <v>0.88333333333333297</v>
      </c>
      <c r="AB166" s="4">
        <v>1</v>
      </c>
      <c r="AC166" s="4">
        <v>0.88333333333333297</v>
      </c>
      <c r="AD166" s="6">
        <v>0</v>
      </c>
      <c r="AE166" s="5">
        <v>8480</v>
      </c>
      <c r="AF166">
        <v>0</v>
      </c>
      <c r="AG166"/>
      <c r="AH166"/>
      <c r="AI166"/>
      <c r="AJ166"/>
    </row>
    <row r="167" spans="1:36" x14ac:dyDescent="0.25">
      <c r="A167">
        <v>166</v>
      </c>
      <c r="B167" s="1">
        <v>46038</v>
      </c>
      <c r="C167" s="1">
        <v>46038</v>
      </c>
      <c r="D167" s="2">
        <v>0.5</v>
      </c>
      <c r="E167" s="2">
        <v>0.54166666666666663</v>
      </c>
      <c r="F167" s="3" t="s">
        <v>27</v>
      </c>
      <c r="G167" s="3" t="s">
        <v>243</v>
      </c>
      <c r="H167" s="3" t="s">
        <v>38</v>
      </c>
      <c r="I167" s="3" t="s">
        <v>45</v>
      </c>
      <c r="J167" s="3" t="s">
        <v>46</v>
      </c>
      <c r="K167" s="3" t="s">
        <v>47</v>
      </c>
      <c r="L167" s="3" t="s">
        <v>33</v>
      </c>
      <c r="M167">
        <v>120</v>
      </c>
      <c r="N167">
        <v>30</v>
      </c>
      <c r="O167">
        <v>60</v>
      </c>
      <c r="P167">
        <v>6</v>
      </c>
      <c r="Q167" s="3" t="s">
        <v>53</v>
      </c>
      <c r="R167">
        <v>88</v>
      </c>
      <c r="S167">
        <v>82</v>
      </c>
      <c r="T167">
        <v>6</v>
      </c>
      <c r="U167" s="3" t="s">
        <v>54</v>
      </c>
      <c r="V167" s="3" t="s">
        <v>55</v>
      </c>
      <c r="W167">
        <v>80</v>
      </c>
      <c r="X167">
        <v>480</v>
      </c>
      <c r="Y167">
        <v>54</v>
      </c>
      <c r="Z167" s="4">
        <v>0.9</v>
      </c>
      <c r="AA167" s="4">
        <v>0.81481481481481499</v>
      </c>
      <c r="AB167" s="4">
        <v>0.93181818181818199</v>
      </c>
      <c r="AC167" s="4">
        <v>0.68333333333333401</v>
      </c>
      <c r="AD167" s="6">
        <v>960</v>
      </c>
      <c r="AE167" s="5">
        <v>6560</v>
      </c>
      <c r="AF167">
        <v>1440</v>
      </c>
      <c r="AG167"/>
      <c r="AH167"/>
      <c r="AI167"/>
      <c r="AJ167"/>
    </row>
    <row r="168" spans="1:36" x14ac:dyDescent="0.25">
      <c r="A168">
        <v>167</v>
      </c>
      <c r="B168" s="1">
        <v>46038</v>
      </c>
      <c r="C168" s="1">
        <v>46038</v>
      </c>
      <c r="D168" s="2">
        <v>0.54166666666666663</v>
      </c>
      <c r="E168" s="2">
        <v>0.58333333333333337</v>
      </c>
      <c r="F168" s="3" t="s">
        <v>56</v>
      </c>
      <c r="G168" s="3" t="s">
        <v>244</v>
      </c>
      <c r="H168" s="3" t="s">
        <v>98</v>
      </c>
      <c r="I168" s="3" t="s">
        <v>59</v>
      </c>
      <c r="J168" s="3" t="s">
        <v>60</v>
      </c>
      <c r="K168" s="3" t="s">
        <v>61</v>
      </c>
      <c r="L168" s="3" t="s">
        <v>62</v>
      </c>
      <c r="M168">
        <v>80</v>
      </c>
      <c r="N168">
        <v>45</v>
      </c>
      <c r="O168">
        <v>60</v>
      </c>
      <c r="P168">
        <v>6</v>
      </c>
      <c r="Q168" s="3" t="s">
        <v>34</v>
      </c>
      <c r="R168">
        <v>81</v>
      </c>
      <c r="S168">
        <v>81</v>
      </c>
      <c r="T168">
        <v>0</v>
      </c>
      <c r="U168" s="3" t="s">
        <v>63</v>
      </c>
      <c r="V168" s="3" t="s">
        <v>64</v>
      </c>
      <c r="W168">
        <v>120</v>
      </c>
      <c r="X168">
        <v>0</v>
      </c>
      <c r="Y168">
        <v>54</v>
      </c>
      <c r="Z168" s="4">
        <v>0.9</v>
      </c>
      <c r="AA168" s="4">
        <v>1.125</v>
      </c>
      <c r="AB168" s="4">
        <v>1</v>
      </c>
      <c r="AC168" s="4">
        <v>1.0125</v>
      </c>
      <c r="AD168" s="6">
        <v>960</v>
      </c>
      <c r="AE168" s="5">
        <v>9720</v>
      </c>
      <c r="AF168">
        <v>960</v>
      </c>
      <c r="AG168"/>
      <c r="AH168"/>
      <c r="AI168"/>
      <c r="AJ168"/>
    </row>
    <row r="169" spans="1:36" x14ac:dyDescent="0.25">
      <c r="A169">
        <v>168</v>
      </c>
      <c r="B169" s="1">
        <v>46038</v>
      </c>
      <c r="C169" s="1">
        <v>46038</v>
      </c>
      <c r="D169" s="2">
        <v>0.58333333333333337</v>
      </c>
      <c r="E169" s="2">
        <v>0.625</v>
      </c>
      <c r="F169" s="3" t="s">
        <v>56</v>
      </c>
      <c r="G169" s="3" t="s">
        <v>245</v>
      </c>
      <c r="H169" s="3" t="s">
        <v>58</v>
      </c>
      <c r="I169" s="3" t="s">
        <v>59</v>
      </c>
      <c r="J169" s="3" t="s">
        <v>60</v>
      </c>
      <c r="K169" s="3" t="s">
        <v>61</v>
      </c>
      <c r="L169" s="3" t="s">
        <v>62</v>
      </c>
      <c r="M169">
        <v>80</v>
      </c>
      <c r="N169">
        <v>45</v>
      </c>
      <c r="O169">
        <v>60</v>
      </c>
      <c r="P169">
        <v>0</v>
      </c>
      <c r="Q169" s="3" t="s">
        <v>39</v>
      </c>
      <c r="R169">
        <v>81</v>
      </c>
      <c r="S169">
        <v>75</v>
      </c>
      <c r="T169">
        <v>6</v>
      </c>
      <c r="U169" s="3" t="s">
        <v>63</v>
      </c>
      <c r="V169" s="3" t="s">
        <v>64</v>
      </c>
      <c r="W169">
        <v>120</v>
      </c>
      <c r="X169">
        <v>720</v>
      </c>
      <c r="Y169">
        <v>60</v>
      </c>
      <c r="Z169" s="4">
        <v>1</v>
      </c>
      <c r="AA169" s="4">
        <v>1.0125</v>
      </c>
      <c r="AB169" s="4">
        <v>0.92592592592592604</v>
      </c>
      <c r="AC169" s="4">
        <v>0.9375</v>
      </c>
      <c r="AD169" s="6">
        <v>0</v>
      </c>
      <c r="AE169" s="5">
        <v>9000</v>
      </c>
      <c r="AF169">
        <v>720</v>
      </c>
      <c r="AG169"/>
      <c r="AH169"/>
      <c r="AI169"/>
      <c r="AJ169"/>
    </row>
    <row r="170" spans="1:36" x14ac:dyDescent="0.25">
      <c r="A170">
        <v>169</v>
      </c>
      <c r="B170" s="1">
        <v>46038</v>
      </c>
      <c r="C170" s="1">
        <v>46038</v>
      </c>
      <c r="D170" s="2">
        <v>0.625</v>
      </c>
      <c r="E170" s="2">
        <v>0.66666666666666663</v>
      </c>
      <c r="F170" s="3" t="s">
        <v>56</v>
      </c>
      <c r="G170" s="3" t="s">
        <v>246</v>
      </c>
      <c r="H170" s="3" t="s">
        <v>58</v>
      </c>
      <c r="I170" s="3" t="s">
        <v>59</v>
      </c>
      <c r="J170" s="3" t="s">
        <v>60</v>
      </c>
      <c r="K170" s="3" t="s">
        <v>61</v>
      </c>
      <c r="L170" s="3" t="s">
        <v>62</v>
      </c>
      <c r="M170">
        <v>80</v>
      </c>
      <c r="N170">
        <v>45</v>
      </c>
      <c r="O170">
        <v>60</v>
      </c>
      <c r="P170">
        <v>32</v>
      </c>
      <c r="Q170" s="3" t="s">
        <v>68</v>
      </c>
      <c r="R170">
        <v>45</v>
      </c>
      <c r="S170">
        <v>0</v>
      </c>
      <c r="T170">
        <v>45</v>
      </c>
      <c r="U170" s="3" t="s">
        <v>69</v>
      </c>
      <c r="V170" s="3" t="s">
        <v>70</v>
      </c>
      <c r="W170">
        <v>120</v>
      </c>
      <c r="X170">
        <v>5400</v>
      </c>
      <c r="Y170">
        <v>28</v>
      </c>
      <c r="Z170" s="4">
        <v>0.46666666666666701</v>
      </c>
      <c r="AA170" s="4">
        <v>1.2053571428571399</v>
      </c>
      <c r="AB170" s="4">
        <v>0</v>
      </c>
      <c r="AC170" s="4">
        <v>0</v>
      </c>
      <c r="AD170" s="6">
        <v>5120</v>
      </c>
      <c r="AE170" s="5">
        <v>0</v>
      </c>
      <c r="AF170">
        <v>10520</v>
      </c>
      <c r="AG170"/>
      <c r="AH170"/>
      <c r="AI170"/>
      <c r="AJ170"/>
    </row>
    <row r="171" spans="1:36" x14ac:dyDescent="0.25">
      <c r="A171">
        <v>170</v>
      </c>
      <c r="B171" s="1">
        <v>46038</v>
      </c>
      <c r="C171" s="1">
        <v>46038</v>
      </c>
      <c r="D171" s="2">
        <v>0.66666666666666663</v>
      </c>
      <c r="E171" s="2">
        <v>0.70833333333333337</v>
      </c>
      <c r="F171" s="3" t="s">
        <v>56</v>
      </c>
      <c r="G171" s="3" t="s">
        <v>247</v>
      </c>
      <c r="H171" s="3" t="s">
        <v>98</v>
      </c>
      <c r="I171" s="3" t="s">
        <v>30</v>
      </c>
      <c r="J171" s="3" t="s">
        <v>31</v>
      </c>
      <c r="K171" s="3" t="s">
        <v>32</v>
      </c>
      <c r="L171" s="3" t="s">
        <v>33</v>
      </c>
      <c r="M171">
        <v>100</v>
      </c>
      <c r="N171">
        <v>36</v>
      </c>
      <c r="O171">
        <v>60</v>
      </c>
      <c r="P171">
        <v>8</v>
      </c>
      <c r="Q171" s="3" t="s">
        <v>34</v>
      </c>
      <c r="R171">
        <v>98</v>
      </c>
      <c r="S171">
        <v>96</v>
      </c>
      <c r="T171">
        <v>2</v>
      </c>
      <c r="U171" s="3" t="s">
        <v>72</v>
      </c>
      <c r="V171" s="3" t="s">
        <v>73</v>
      </c>
      <c r="W171">
        <v>50</v>
      </c>
      <c r="X171">
        <v>100</v>
      </c>
      <c r="Y171">
        <v>52</v>
      </c>
      <c r="Z171" s="4">
        <v>0.86666666666666703</v>
      </c>
      <c r="AA171" s="4">
        <v>1.1307692307692301</v>
      </c>
      <c r="AB171" s="4">
        <v>0.97959183673469397</v>
      </c>
      <c r="AC171" s="4">
        <v>0.96</v>
      </c>
      <c r="AD171" s="6">
        <v>666.66669999999999</v>
      </c>
      <c r="AE171" s="5">
        <v>4800</v>
      </c>
      <c r="AF171">
        <v>766.66669999999999</v>
      </c>
      <c r="AG171"/>
      <c r="AH171"/>
      <c r="AI171"/>
      <c r="AJ171"/>
    </row>
    <row r="172" spans="1:36" x14ac:dyDescent="0.25">
      <c r="A172">
        <v>171</v>
      </c>
      <c r="B172" s="1">
        <v>46038</v>
      </c>
      <c r="C172" s="1">
        <v>46038</v>
      </c>
      <c r="D172" s="2">
        <v>0.70833333333333337</v>
      </c>
      <c r="E172" s="2">
        <v>0.75</v>
      </c>
      <c r="F172" s="3" t="s">
        <v>56</v>
      </c>
      <c r="G172" s="3" t="s">
        <v>248</v>
      </c>
      <c r="H172" s="3" t="s">
        <v>29</v>
      </c>
      <c r="I172" s="3" t="s">
        <v>30</v>
      </c>
      <c r="J172" s="3" t="s">
        <v>31</v>
      </c>
      <c r="K172" s="3" t="s">
        <v>32</v>
      </c>
      <c r="L172" s="3" t="s">
        <v>33</v>
      </c>
      <c r="M172">
        <v>100</v>
      </c>
      <c r="N172">
        <v>36</v>
      </c>
      <c r="O172">
        <v>60</v>
      </c>
      <c r="P172">
        <v>0</v>
      </c>
      <c r="Q172" s="3" t="s">
        <v>39</v>
      </c>
      <c r="R172">
        <v>101</v>
      </c>
      <c r="S172">
        <v>100</v>
      </c>
      <c r="T172">
        <v>1</v>
      </c>
      <c r="U172" s="3" t="s">
        <v>75</v>
      </c>
      <c r="V172" s="3" t="s">
        <v>76</v>
      </c>
      <c r="W172">
        <v>50</v>
      </c>
      <c r="X172">
        <v>50</v>
      </c>
      <c r="Y172">
        <v>60</v>
      </c>
      <c r="Z172" s="4">
        <v>1</v>
      </c>
      <c r="AA172" s="4">
        <v>1.01</v>
      </c>
      <c r="AB172" s="4">
        <v>0.99009900990098998</v>
      </c>
      <c r="AC172" s="4">
        <v>1</v>
      </c>
      <c r="AD172" s="6">
        <v>0</v>
      </c>
      <c r="AE172" s="5">
        <v>5000</v>
      </c>
      <c r="AF172">
        <v>50</v>
      </c>
      <c r="AG172"/>
      <c r="AH172"/>
      <c r="AI172"/>
      <c r="AJ172"/>
    </row>
    <row r="173" spans="1:36" x14ac:dyDescent="0.25">
      <c r="A173">
        <v>172</v>
      </c>
      <c r="B173" s="1">
        <v>46038</v>
      </c>
      <c r="C173" s="1">
        <v>46038</v>
      </c>
      <c r="D173" s="2">
        <v>0.70833333333333337</v>
      </c>
      <c r="E173" s="2">
        <v>0.75</v>
      </c>
      <c r="F173" s="3" t="s">
        <v>56</v>
      </c>
      <c r="G173" s="3" t="s">
        <v>249</v>
      </c>
      <c r="H173" s="3" t="s">
        <v>117</v>
      </c>
      <c r="I173" s="3" t="s">
        <v>30</v>
      </c>
      <c r="J173" s="3" t="s">
        <v>31</v>
      </c>
      <c r="K173" s="3" t="s">
        <v>32</v>
      </c>
      <c r="L173" s="3" t="s">
        <v>33</v>
      </c>
      <c r="M173">
        <v>100</v>
      </c>
      <c r="N173">
        <v>36</v>
      </c>
      <c r="O173">
        <v>60</v>
      </c>
      <c r="P173">
        <v>3</v>
      </c>
      <c r="Q173" s="3" t="s">
        <v>78</v>
      </c>
      <c r="R173">
        <v>87</v>
      </c>
      <c r="S173">
        <v>87</v>
      </c>
      <c r="T173">
        <v>0</v>
      </c>
      <c r="U173" s="3" t="s">
        <v>75</v>
      </c>
      <c r="V173" s="3" t="s">
        <v>76</v>
      </c>
      <c r="W173">
        <v>50</v>
      </c>
      <c r="X173">
        <v>0</v>
      </c>
      <c r="Y173">
        <v>57</v>
      </c>
      <c r="Z173" s="4">
        <v>0.95</v>
      </c>
      <c r="AA173" s="4">
        <v>0.91578947368421004</v>
      </c>
      <c r="AB173" s="4">
        <v>1</v>
      </c>
      <c r="AC173" s="4">
        <v>0.87</v>
      </c>
      <c r="AD173" s="6">
        <v>250</v>
      </c>
      <c r="AE173" s="5">
        <v>4350</v>
      </c>
      <c r="AF173">
        <v>250</v>
      </c>
      <c r="AG173"/>
      <c r="AH173"/>
      <c r="AI173"/>
      <c r="AJ173"/>
    </row>
    <row r="174" spans="1:36" x14ac:dyDescent="0.25">
      <c r="A174">
        <v>173</v>
      </c>
      <c r="B174" s="1">
        <v>46039</v>
      </c>
      <c r="C174" s="1">
        <v>46039</v>
      </c>
      <c r="D174" s="2">
        <v>0.29166666666666669</v>
      </c>
      <c r="E174" s="2">
        <v>0.33333333333333331</v>
      </c>
      <c r="F174" s="3" t="s">
        <v>27</v>
      </c>
      <c r="G174" s="3" t="s">
        <v>250</v>
      </c>
      <c r="H174" s="3" t="s">
        <v>67</v>
      </c>
      <c r="I174" s="3" t="s">
        <v>45</v>
      </c>
      <c r="J174" s="3" t="s">
        <v>46</v>
      </c>
      <c r="K174" s="3" t="s">
        <v>47</v>
      </c>
      <c r="L174" s="3" t="s">
        <v>33</v>
      </c>
      <c r="M174">
        <v>120</v>
      </c>
      <c r="N174">
        <v>30</v>
      </c>
      <c r="O174">
        <v>60</v>
      </c>
      <c r="P174">
        <v>0</v>
      </c>
      <c r="Q174" s="3" t="s">
        <v>39</v>
      </c>
      <c r="R174">
        <v>128</v>
      </c>
      <c r="S174">
        <v>124</v>
      </c>
      <c r="T174">
        <v>4</v>
      </c>
      <c r="U174" s="3" t="s">
        <v>35</v>
      </c>
      <c r="V174" s="3" t="s">
        <v>36</v>
      </c>
      <c r="W174">
        <v>80</v>
      </c>
      <c r="X174">
        <v>320</v>
      </c>
      <c r="Y174">
        <v>60</v>
      </c>
      <c r="Z174" s="4">
        <v>1</v>
      </c>
      <c r="AA174" s="4">
        <v>1.06666666666667</v>
      </c>
      <c r="AB174" s="4">
        <v>0.96875</v>
      </c>
      <c r="AC174" s="4">
        <v>1.0333333333333401</v>
      </c>
      <c r="AD174" s="6">
        <v>0</v>
      </c>
      <c r="AE174" s="5">
        <v>9920</v>
      </c>
      <c r="AF174">
        <v>320</v>
      </c>
      <c r="AG174"/>
      <c r="AH174"/>
      <c r="AI174"/>
      <c r="AJ174"/>
    </row>
    <row r="175" spans="1:36" x14ac:dyDescent="0.25">
      <c r="A175">
        <v>174</v>
      </c>
      <c r="B175" s="1">
        <v>46039</v>
      </c>
      <c r="C175" s="1">
        <v>46039</v>
      </c>
      <c r="D175" s="2">
        <v>0.33333333333333331</v>
      </c>
      <c r="E175" s="2">
        <v>0.375</v>
      </c>
      <c r="F175" s="3" t="s">
        <v>27</v>
      </c>
      <c r="G175" s="3" t="s">
        <v>251</v>
      </c>
      <c r="H175" s="3" t="s">
        <v>84</v>
      </c>
      <c r="I175" s="3" t="s">
        <v>45</v>
      </c>
      <c r="J175" s="3" t="s">
        <v>46</v>
      </c>
      <c r="K175" s="3" t="s">
        <v>47</v>
      </c>
      <c r="L175" s="3" t="s">
        <v>33</v>
      </c>
      <c r="M175">
        <v>120</v>
      </c>
      <c r="N175">
        <v>30</v>
      </c>
      <c r="O175">
        <v>60</v>
      </c>
      <c r="P175">
        <v>11</v>
      </c>
      <c r="Q175" s="3" t="s">
        <v>82</v>
      </c>
      <c r="R175">
        <v>0</v>
      </c>
      <c r="S175">
        <v>0</v>
      </c>
      <c r="T175">
        <v>0</v>
      </c>
      <c r="U175" s="3" t="s">
        <v>42</v>
      </c>
      <c r="V175" s="3" t="s">
        <v>43</v>
      </c>
      <c r="W175">
        <v>80</v>
      </c>
      <c r="X175">
        <v>0</v>
      </c>
      <c r="Y175">
        <v>49</v>
      </c>
      <c r="Z175" s="4">
        <v>0.81666666666666698</v>
      </c>
      <c r="AA175" s="4">
        <v>0</v>
      </c>
      <c r="AB175" s="4">
        <v>0</v>
      </c>
      <c r="AC175" s="4">
        <v>0</v>
      </c>
      <c r="AD175" s="6">
        <v>1760</v>
      </c>
      <c r="AE175" s="5">
        <v>0</v>
      </c>
      <c r="AF175">
        <v>1760</v>
      </c>
      <c r="AG175"/>
      <c r="AH175"/>
      <c r="AI175"/>
      <c r="AJ175"/>
    </row>
    <row r="176" spans="1:36" x14ac:dyDescent="0.25">
      <c r="A176">
        <v>175</v>
      </c>
      <c r="B176" s="1">
        <v>46039</v>
      </c>
      <c r="C176" s="1">
        <v>46039</v>
      </c>
      <c r="D176" s="2">
        <v>0.375</v>
      </c>
      <c r="E176" s="2">
        <v>0.41666666666666669</v>
      </c>
      <c r="F176" s="3" t="s">
        <v>27</v>
      </c>
      <c r="G176" s="3" t="s">
        <v>252</v>
      </c>
      <c r="H176" s="3" t="s">
        <v>80</v>
      </c>
      <c r="I176" s="3" t="s">
        <v>45</v>
      </c>
      <c r="J176" s="3" t="s">
        <v>46</v>
      </c>
      <c r="K176" s="3" t="s">
        <v>47</v>
      </c>
      <c r="L176" s="3" t="s">
        <v>33</v>
      </c>
      <c r="M176">
        <v>120</v>
      </c>
      <c r="N176">
        <v>30</v>
      </c>
      <c r="O176">
        <v>60</v>
      </c>
      <c r="P176">
        <v>3</v>
      </c>
      <c r="Q176" s="3" t="s">
        <v>85</v>
      </c>
      <c r="R176">
        <v>99</v>
      </c>
      <c r="S176">
        <v>95</v>
      </c>
      <c r="T176">
        <v>4</v>
      </c>
      <c r="U176" s="3" t="s">
        <v>42</v>
      </c>
      <c r="V176" s="3" t="s">
        <v>43</v>
      </c>
      <c r="W176">
        <v>80</v>
      </c>
      <c r="X176">
        <v>320</v>
      </c>
      <c r="Y176">
        <v>57</v>
      </c>
      <c r="Z176" s="4">
        <v>0.95</v>
      </c>
      <c r="AA176" s="4">
        <v>0.86842105263157898</v>
      </c>
      <c r="AB176" s="4">
        <v>0.95959595959596</v>
      </c>
      <c r="AC176" s="4">
        <v>0.79166666666666696</v>
      </c>
      <c r="AD176" s="6">
        <v>480</v>
      </c>
      <c r="AE176" s="5">
        <v>7600</v>
      </c>
      <c r="AF176">
        <v>800</v>
      </c>
      <c r="AG176"/>
      <c r="AH176"/>
      <c r="AI176"/>
      <c r="AJ176"/>
    </row>
    <row r="177" spans="1:36" x14ac:dyDescent="0.25">
      <c r="A177">
        <v>176</v>
      </c>
      <c r="B177" s="1">
        <v>46039</v>
      </c>
      <c r="C177" s="1">
        <v>46039</v>
      </c>
      <c r="D177" s="2">
        <v>0.41666666666666669</v>
      </c>
      <c r="E177" s="2">
        <v>0.45833333333333331</v>
      </c>
      <c r="F177" s="3" t="s">
        <v>27</v>
      </c>
      <c r="G177" s="3" t="s">
        <v>253</v>
      </c>
      <c r="H177" s="3" t="s">
        <v>38</v>
      </c>
      <c r="I177" s="3" t="s">
        <v>59</v>
      </c>
      <c r="J177" s="3" t="s">
        <v>60</v>
      </c>
      <c r="K177" s="3" t="s">
        <v>61</v>
      </c>
      <c r="L177" s="3" t="s">
        <v>62</v>
      </c>
      <c r="M177">
        <v>80</v>
      </c>
      <c r="N177">
        <v>45</v>
      </c>
      <c r="O177">
        <v>60</v>
      </c>
      <c r="P177">
        <v>0</v>
      </c>
      <c r="Q177" s="3" t="s">
        <v>39</v>
      </c>
      <c r="R177">
        <v>83</v>
      </c>
      <c r="S177">
        <v>77</v>
      </c>
      <c r="T177">
        <v>6</v>
      </c>
      <c r="U177" s="3" t="s">
        <v>49</v>
      </c>
      <c r="V177" s="3" t="s">
        <v>50</v>
      </c>
      <c r="W177">
        <v>120</v>
      </c>
      <c r="X177">
        <v>720</v>
      </c>
      <c r="Y177">
        <v>60</v>
      </c>
      <c r="Z177" s="4">
        <v>1</v>
      </c>
      <c r="AA177" s="4">
        <v>1.0375000000000001</v>
      </c>
      <c r="AB177" s="4">
        <v>0.92771084337349397</v>
      </c>
      <c r="AC177" s="4">
        <v>0.96250000000000002</v>
      </c>
      <c r="AD177" s="6">
        <v>0</v>
      </c>
      <c r="AE177" s="5">
        <v>9240</v>
      </c>
      <c r="AF177">
        <v>720</v>
      </c>
      <c r="AG177"/>
      <c r="AH177"/>
      <c r="AI177"/>
      <c r="AJ177"/>
    </row>
    <row r="178" spans="1:36" x14ac:dyDescent="0.25">
      <c r="A178">
        <v>177</v>
      </c>
      <c r="B178" s="1">
        <v>46039</v>
      </c>
      <c r="C178" s="1">
        <v>46039</v>
      </c>
      <c r="D178" s="2">
        <v>0.45833333333333331</v>
      </c>
      <c r="E178" s="2">
        <v>0.5</v>
      </c>
      <c r="F178" s="3" t="s">
        <v>27</v>
      </c>
      <c r="G178" s="3" t="s">
        <v>254</v>
      </c>
      <c r="H178" s="3" t="s">
        <v>29</v>
      </c>
      <c r="I178" s="3" t="s">
        <v>59</v>
      </c>
      <c r="J178" s="3" t="s">
        <v>60</v>
      </c>
      <c r="K178" s="3" t="s">
        <v>61</v>
      </c>
      <c r="L178" s="3" t="s">
        <v>62</v>
      </c>
      <c r="M178">
        <v>80</v>
      </c>
      <c r="N178">
        <v>45</v>
      </c>
      <c r="O178">
        <v>60</v>
      </c>
      <c r="P178">
        <v>20</v>
      </c>
      <c r="Q178" s="3" t="s">
        <v>88</v>
      </c>
      <c r="R178">
        <v>67</v>
      </c>
      <c r="S178">
        <v>67</v>
      </c>
      <c r="T178">
        <v>0</v>
      </c>
      <c r="U178" s="3" t="s">
        <v>54</v>
      </c>
      <c r="V178" s="3" t="s">
        <v>55</v>
      </c>
      <c r="W178">
        <v>120</v>
      </c>
      <c r="X178">
        <v>0</v>
      </c>
      <c r="Y178">
        <v>40</v>
      </c>
      <c r="Z178" s="4">
        <v>0.66666666666666696</v>
      </c>
      <c r="AA178" s="4">
        <v>1.2562500000000001</v>
      </c>
      <c r="AB178" s="4">
        <v>1</v>
      </c>
      <c r="AC178" s="4">
        <v>0.83750000000000002</v>
      </c>
      <c r="AD178" s="6">
        <v>3200</v>
      </c>
      <c r="AE178" s="5">
        <v>8040</v>
      </c>
      <c r="AF178">
        <v>3200</v>
      </c>
      <c r="AG178"/>
      <c r="AH178"/>
      <c r="AI178"/>
      <c r="AJ178"/>
    </row>
    <row r="179" spans="1:36" x14ac:dyDescent="0.25">
      <c r="A179">
        <v>178</v>
      </c>
      <c r="B179" s="1">
        <v>46039</v>
      </c>
      <c r="C179" s="1">
        <v>46039</v>
      </c>
      <c r="D179" s="2">
        <v>0.5</v>
      </c>
      <c r="E179" s="2">
        <v>0.54166666666666663</v>
      </c>
      <c r="F179" s="3" t="s">
        <v>56</v>
      </c>
      <c r="G179" s="3" t="s">
        <v>255</v>
      </c>
      <c r="H179" s="3" t="s">
        <v>117</v>
      </c>
      <c r="I179" s="3" t="s">
        <v>30</v>
      </c>
      <c r="J179" s="3" t="s">
        <v>31</v>
      </c>
      <c r="K179" s="3" t="s">
        <v>32</v>
      </c>
      <c r="L179" s="3" t="s">
        <v>33</v>
      </c>
      <c r="M179">
        <v>100</v>
      </c>
      <c r="N179">
        <v>36</v>
      </c>
      <c r="O179">
        <v>60</v>
      </c>
      <c r="P179">
        <v>0</v>
      </c>
      <c r="Q179" s="3" t="s">
        <v>39</v>
      </c>
      <c r="R179">
        <v>110</v>
      </c>
      <c r="S179">
        <v>108</v>
      </c>
      <c r="T179">
        <v>2</v>
      </c>
      <c r="U179" s="3" t="s">
        <v>63</v>
      </c>
      <c r="V179" s="3" t="s">
        <v>64</v>
      </c>
      <c r="W179">
        <v>50</v>
      </c>
      <c r="X179">
        <v>100</v>
      </c>
      <c r="Y179">
        <v>60</v>
      </c>
      <c r="Z179" s="4">
        <v>1</v>
      </c>
      <c r="AA179" s="4">
        <v>1.1000000000000001</v>
      </c>
      <c r="AB179" s="4">
        <v>0.98181818181818203</v>
      </c>
      <c r="AC179" s="4">
        <v>1.08</v>
      </c>
      <c r="AD179" s="6">
        <v>0</v>
      </c>
      <c r="AE179" s="5">
        <v>5400</v>
      </c>
      <c r="AF179">
        <v>100</v>
      </c>
      <c r="AG179"/>
      <c r="AH179"/>
      <c r="AI179"/>
      <c r="AJ179"/>
    </row>
    <row r="180" spans="1:36" x14ac:dyDescent="0.25">
      <c r="A180">
        <v>179</v>
      </c>
      <c r="B180" s="1">
        <v>46039</v>
      </c>
      <c r="C180" s="1">
        <v>46039</v>
      </c>
      <c r="D180" s="2">
        <v>0.54166666666666663</v>
      </c>
      <c r="E180" s="2">
        <v>0.58333333333333337</v>
      </c>
      <c r="F180" s="3" t="s">
        <v>56</v>
      </c>
      <c r="G180" s="3" t="s">
        <v>256</v>
      </c>
      <c r="H180" s="3" t="s">
        <v>98</v>
      </c>
      <c r="I180" s="3" t="s">
        <v>30</v>
      </c>
      <c r="J180" s="3" t="s">
        <v>31</v>
      </c>
      <c r="K180" s="3" t="s">
        <v>32</v>
      </c>
      <c r="L180" s="3" t="s">
        <v>33</v>
      </c>
      <c r="M180">
        <v>100</v>
      </c>
      <c r="N180">
        <v>36</v>
      </c>
      <c r="O180">
        <v>60</v>
      </c>
      <c r="P180">
        <v>10</v>
      </c>
      <c r="Q180" s="3" t="s">
        <v>92</v>
      </c>
      <c r="R180">
        <v>96</v>
      </c>
      <c r="S180">
        <v>96</v>
      </c>
      <c r="T180">
        <v>0</v>
      </c>
      <c r="U180" s="3" t="s">
        <v>69</v>
      </c>
      <c r="V180" s="3" t="s">
        <v>70</v>
      </c>
      <c r="W180">
        <v>50</v>
      </c>
      <c r="X180">
        <v>0</v>
      </c>
      <c r="Y180">
        <v>50</v>
      </c>
      <c r="Z180" s="4">
        <v>0.83333333333333404</v>
      </c>
      <c r="AA180" s="4">
        <v>1.1519999999999999</v>
      </c>
      <c r="AB180" s="4">
        <v>1</v>
      </c>
      <c r="AC180" s="4">
        <v>0.96000000000000096</v>
      </c>
      <c r="AD180" s="6">
        <v>833.33330000000001</v>
      </c>
      <c r="AE180" s="5">
        <v>4800</v>
      </c>
      <c r="AF180">
        <v>833.33330000000001</v>
      </c>
      <c r="AG180"/>
      <c r="AH180"/>
      <c r="AI180"/>
      <c r="AJ180"/>
    </row>
    <row r="181" spans="1:36" x14ac:dyDescent="0.25">
      <c r="A181">
        <v>180</v>
      </c>
      <c r="B181" s="1">
        <v>46039</v>
      </c>
      <c r="C181" s="1">
        <v>46039</v>
      </c>
      <c r="D181" s="2">
        <v>0.58333333333333337</v>
      </c>
      <c r="E181" s="2">
        <v>0.625</v>
      </c>
      <c r="F181" s="3" t="s">
        <v>56</v>
      </c>
      <c r="G181" s="3" t="s">
        <v>257</v>
      </c>
      <c r="H181" s="3" t="s">
        <v>117</v>
      </c>
      <c r="I181" s="3" t="s">
        <v>45</v>
      </c>
      <c r="J181" s="3" t="s">
        <v>46</v>
      </c>
      <c r="K181" s="3" t="s">
        <v>47</v>
      </c>
      <c r="L181" s="3" t="s">
        <v>33</v>
      </c>
      <c r="M181">
        <v>120</v>
      </c>
      <c r="N181">
        <v>30</v>
      </c>
      <c r="O181">
        <v>60</v>
      </c>
      <c r="P181">
        <v>0</v>
      </c>
      <c r="Q181" s="3" t="s">
        <v>39</v>
      </c>
      <c r="R181">
        <v>120</v>
      </c>
      <c r="S181">
        <v>115</v>
      </c>
      <c r="T181">
        <v>5</v>
      </c>
      <c r="U181" s="3" t="s">
        <v>72</v>
      </c>
      <c r="V181" s="3" t="s">
        <v>73</v>
      </c>
      <c r="W181">
        <v>80</v>
      </c>
      <c r="X181">
        <v>400</v>
      </c>
      <c r="Y181">
        <v>60</v>
      </c>
      <c r="Z181" s="4">
        <v>1</v>
      </c>
      <c r="AA181" s="4">
        <v>1</v>
      </c>
      <c r="AB181" s="4">
        <v>0.95833333333333404</v>
      </c>
      <c r="AC181" s="4">
        <v>0.95833333333333404</v>
      </c>
      <c r="AD181" s="6">
        <v>0</v>
      </c>
      <c r="AE181" s="5">
        <v>9200</v>
      </c>
      <c r="AF181">
        <v>400</v>
      </c>
      <c r="AG181"/>
      <c r="AH181"/>
      <c r="AI181"/>
      <c r="AJ181"/>
    </row>
    <row r="182" spans="1:36" x14ac:dyDescent="0.25">
      <c r="A182">
        <v>181</v>
      </c>
      <c r="B182" s="1">
        <v>46039</v>
      </c>
      <c r="C182" s="1">
        <v>46039</v>
      </c>
      <c r="D182" s="2">
        <v>0.625</v>
      </c>
      <c r="E182" s="2">
        <v>0.66666666666666663</v>
      </c>
      <c r="F182" s="3" t="s">
        <v>56</v>
      </c>
      <c r="G182" s="3" t="s">
        <v>258</v>
      </c>
      <c r="H182" s="3" t="s">
        <v>80</v>
      </c>
      <c r="I182" s="3" t="s">
        <v>45</v>
      </c>
      <c r="J182" s="3" t="s">
        <v>46</v>
      </c>
      <c r="K182" s="3" t="s">
        <v>47</v>
      </c>
      <c r="L182" s="3" t="s">
        <v>33</v>
      </c>
      <c r="M182">
        <v>120</v>
      </c>
      <c r="N182">
        <v>30</v>
      </c>
      <c r="O182">
        <v>60</v>
      </c>
      <c r="P182">
        <v>20</v>
      </c>
      <c r="Q182" s="3" t="s">
        <v>95</v>
      </c>
      <c r="R182">
        <v>82</v>
      </c>
      <c r="S182">
        <v>69</v>
      </c>
      <c r="T182">
        <v>13</v>
      </c>
      <c r="U182" s="3" t="s">
        <v>63</v>
      </c>
      <c r="V182" s="3" t="s">
        <v>64</v>
      </c>
      <c r="W182">
        <v>80</v>
      </c>
      <c r="X182">
        <v>1040</v>
      </c>
      <c r="Y182">
        <v>40</v>
      </c>
      <c r="Z182" s="4">
        <v>0.66666666666666696</v>
      </c>
      <c r="AA182" s="4">
        <v>1.0249999999999999</v>
      </c>
      <c r="AB182" s="4">
        <v>0.84146341463414598</v>
      </c>
      <c r="AC182" s="4">
        <v>0.57499999999999996</v>
      </c>
      <c r="AD182" s="6">
        <v>3200</v>
      </c>
      <c r="AE182" s="5">
        <v>5520</v>
      </c>
      <c r="AF182">
        <v>4240</v>
      </c>
      <c r="AG182"/>
      <c r="AH182"/>
      <c r="AI182"/>
      <c r="AJ182"/>
    </row>
    <row r="183" spans="1:36" x14ac:dyDescent="0.25">
      <c r="A183">
        <v>182</v>
      </c>
      <c r="B183" s="1">
        <v>46039</v>
      </c>
      <c r="C183" s="1">
        <v>46039</v>
      </c>
      <c r="D183" s="2">
        <v>0.70833333333333337</v>
      </c>
      <c r="E183" s="2">
        <v>0.75</v>
      </c>
      <c r="F183" s="3" t="s">
        <v>96</v>
      </c>
      <c r="G183" s="3" t="s">
        <v>259</v>
      </c>
      <c r="H183" s="3" t="s">
        <v>58</v>
      </c>
      <c r="I183" s="3" t="s">
        <v>59</v>
      </c>
      <c r="J183" s="3" t="s">
        <v>60</v>
      </c>
      <c r="K183" s="3" t="s">
        <v>61</v>
      </c>
      <c r="L183" s="3" t="s">
        <v>62</v>
      </c>
      <c r="M183">
        <v>80</v>
      </c>
      <c r="N183">
        <v>45</v>
      </c>
      <c r="O183">
        <v>60</v>
      </c>
      <c r="P183">
        <v>0</v>
      </c>
      <c r="Q183" s="3" t="s">
        <v>39</v>
      </c>
      <c r="R183">
        <v>82</v>
      </c>
      <c r="S183">
        <v>82</v>
      </c>
      <c r="T183">
        <v>0</v>
      </c>
      <c r="U183" s="3" t="s">
        <v>99</v>
      </c>
      <c r="V183" s="3" t="s">
        <v>100</v>
      </c>
      <c r="W183">
        <v>120</v>
      </c>
      <c r="X183">
        <v>0</v>
      </c>
      <c r="Y183">
        <v>60</v>
      </c>
      <c r="Z183" s="4">
        <v>1</v>
      </c>
      <c r="AA183" s="4">
        <v>1.0249999999999999</v>
      </c>
      <c r="AB183" s="4">
        <v>1</v>
      </c>
      <c r="AC183" s="4">
        <v>1.0249999999999999</v>
      </c>
      <c r="AD183" s="6">
        <v>0</v>
      </c>
      <c r="AE183" s="5">
        <v>9840</v>
      </c>
      <c r="AF183">
        <v>0</v>
      </c>
      <c r="AG183"/>
      <c r="AH183"/>
      <c r="AI183"/>
      <c r="AJ183"/>
    </row>
    <row r="184" spans="1:36" x14ac:dyDescent="0.25">
      <c r="A184">
        <v>183</v>
      </c>
      <c r="B184" s="1">
        <v>46039</v>
      </c>
      <c r="C184" s="1">
        <v>46039</v>
      </c>
      <c r="D184" s="2">
        <v>0.75</v>
      </c>
      <c r="E184" s="2">
        <v>0.79166666666666663</v>
      </c>
      <c r="F184" s="3" t="s">
        <v>96</v>
      </c>
      <c r="G184" s="3" t="s">
        <v>260</v>
      </c>
      <c r="H184" s="3" t="s">
        <v>67</v>
      </c>
      <c r="I184" s="3" t="s">
        <v>59</v>
      </c>
      <c r="J184" s="3" t="s">
        <v>60</v>
      </c>
      <c r="K184" s="3" t="s">
        <v>61</v>
      </c>
      <c r="L184" s="3" t="s">
        <v>62</v>
      </c>
      <c r="M184">
        <v>80</v>
      </c>
      <c r="N184">
        <v>45</v>
      </c>
      <c r="O184">
        <v>60</v>
      </c>
      <c r="P184">
        <v>17</v>
      </c>
      <c r="Q184" s="3" t="s">
        <v>102</v>
      </c>
      <c r="R184">
        <v>56</v>
      </c>
      <c r="S184">
        <v>0</v>
      </c>
      <c r="T184">
        <v>56</v>
      </c>
      <c r="U184" s="3" t="s">
        <v>99</v>
      </c>
      <c r="V184" s="3" t="s">
        <v>100</v>
      </c>
      <c r="W184">
        <v>120</v>
      </c>
      <c r="X184">
        <v>6720</v>
      </c>
      <c r="Y184">
        <v>43</v>
      </c>
      <c r="Z184" s="4">
        <v>0.71666666666666701</v>
      </c>
      <c r="AA184" s="4">
        <v>0.97674418604651203</v>
      </c>
      <c r="AB184" s="4">
        <v>0</v>
      </c>
      <c r="AC184" s="4">
        <v>0</v>
      </c>
      <c r="AD184" s="6">
        <v>2720</v>
      </c>
      <c r="AE184" s="5">
        <v>0</v>
      </c>
      <c r="AF184">
        <v>9440</v>
      </c>
      <c r="AG184"/>
      <c r="AH184"/>
      <c r="AI184"/>
      <c r="AJ184"/>
    </row>
    <row r="185" spans="1:36" x14ac:dyDescent="0.25">
      <c r="A185">
        <v>184</v>
      </c>
      <c r="B185" s="1">
        <v>46040</v>
      </c>
      <c r="C185" s="1">
        <v>46040</v>
      </c>
      <c r="D185" s="2">
        <v>0.29166666666666669</v>
      </c>
      <c r="E185" s="2">
        <v>0.33333333333333331</v>
      </c>
      <c r="F185" s="3" t="s">
        <v>27</v>
      </c>
      <c r="G185" s="3" t="s">
        <v>261</v>
      </c>
      <c r="H185" s="3" t="s">
        <v>84</v>
      </c>
      <c r="I185" s="3" t="s">
        <v>30</v>
      </c>
      <c r="J185" s="3" t="s">
        <v>31</v>
      </c>
      <c r="K185" s="3" t="s">
        <v>32</v>
      </c>
      <c r="L185" s="3" t="s">
        <v>33</v>
      </c>
      <c r="M185">
        <v>100</v>
      </c>
      <c r="N185">
        <v>36</v>
      </c>
      <c r="O185">
        <v>60</v>
      </c>
      <c r="P185">
        <v>6</v>
      </c>
      <c r="Q185" s="3" t="s">
        <v>104</v>
      </c>
      <c r="R185">
        <v>94</v>
      </c>
      <c r="S185">
        <v>92</v>
      </c>
      <c r="T185">
        <v>2</v>
      </c>
      <c r="U185" s="3" t="s">
        <v>35</v>
      </c>
      <c r="V185" s="3" t="s">
        <v>36</v>
      </c>
      <c r="W185">
        <v>50</v>
      </c>
      <c r="X185">
        <v>100</v>
      </c>
      <c r="Y185">
        <v>54</v>
      </c>
      <c r="Z185" s="4">
        <v>0.9</v>
      </c>
      <c r="AA185" s="4">
        <v>1.0444444444444401</v>
      </c>
      <c r="AB185" s="4">
        <v>0.97872340425531901</v>
      </c>
      <c r="AC185" s="4">
        <v>0.91999999999999604</v>
      </c>
      <c r="AD185" s="6">
        <v>500</v>
      </c>
      <c r="AE185" s="5">
        <v>4600</v>
      </c>
      <c r="AF185">
        <v>600</v>
      </c>
      <c r="AG185"/>
      <c r="AH185"/>
      <c r="AI185"/>
      <c r="AJ185"/>
    </row>
    <row r="186" spans="1:36" x14ac:dyDescent="0.25">
      <c r="A186">
        <v>185</v>
      </c>
      <c r="B186" s="1">
        <v>46040</v>
      </c>
      <c r="C186" s="1">
        <v>46040</v>
      </c>
      <c r="D186" s="2">
        <v>0.33333333333333331</v>
      </c>
      <c r="E186" s="2">
        <v>0.375</v>
      </c>
      <c r="F186" s="3" t="s">
        <v>27</v>
      </c>
      <c r="G186" s="3" t="s">
        <v>262</v>
      </c>
      <c r="H186" s="3" t="s">
        <v>98</v>
      </c>
      <c r="I186" s="3" t="s">
        <v>30</v>
      </c>
      <c r="J186" s="3" t="s">
        <v>31</v>
      </c>
      <c r="K186" s="3" t="s">
        <v>32</v>
      </c>
      <c r="L186" s="3" t="s">
        <v>33</v>
      </c>
      <c r="M186">
        <v>100</v>
      </c>
      <c r="N186">
        <v>36</v>
      </c>
      <c r="O186">
        <v>60</v>
      </c>
      <c r="P186">
        <v>0</v>
      </c>
      <c r="Q186" s="3" t="s">
        <v>39</v>
      </c>
      <c r="R186">
        <v>108</v>
      </c>
      <c r="S186">
        <v>108</v>
      </c>
      <c r="T186">
        <v>0</v>
      </c>
      <c r="U186" s="3" t="s">
        <v>35</v>
      </c>
      <c r="V186" s="3" t="s">
        <v>36</v>
      </c>
      <c r="W186">
        <v>50</v>
      </c>
      <c r="X186">
        <v>0</v>
      </c>
      <c r="Y186">
        <v>60</v>
      </c>
      <c r="Z186" s="4">
        <v>1</v>
      </c>
      <c r="AA186" s="4">
        <v>1.08</v>
      </c>
      <c r="AB186" s="4">
        <v>1</v>
      </c>
      <c r="AC186" s="4">
        <v>1.08</v>
      </c>
      <c r="AD186" s="6">
        <v>0</v>
      </c>
      <c r="AE186" s="5">
        <v>5400</v>
      </c>
      <c r="AF186">
        <v>0</v>
      </c>
      <c r="AG186"/>
      <c r="AH186"/>
      <c r="AI186"/>
      <c r="AJ186"/>
    </row>
    <row r="187" spans="1:36" x14ac:dyDescent="0.25">
      <c r="A187">
        <v>186</v>
      </c>
      <c r="B187" s="1">
        <v>46040</v>
      </c>
      <c r="C187" s="1">
        <v>46040</v>
      </c>
      <c r="D187" s="2">
        <v>0.375</v>
      </c>
      <c r="E187" s="2">
        <v>0.41666666666666669</v>
      </c>
      <c r="F187" s="3" t="s">
        <v>27</v>
      </c>
      <c r="G187" s="3" t="s">
        <v>263</v>
      </c>
      <c r="H187" s="3" t="s">
        <v>84</v>
      </c>
      <c r="I187" s="3" t="s">
        <v>30</v>
      </c>
      <c r="J187" s="3" t="s">
        <v>31</v>
      </c>
      <c r="K187" s="3" t="s">
        <v>32</v>
      </c>
      <c r="L187" s="3" t="s">
        <v>33</v>
      </c>
      <c r="M187">
        <v>100</v>
      </c>
      <c r="N187">
        <v>36</v>
      </c>
      <c r="O187">
        <v>60</v>
      </c>
      <c r="P187">
        <v>6</v>
      </c>
      <c r="Q187" s="3" t="s">
        <v>34</v>
      </c>
      <c r="R187">
        <v>93</v>
      </c>
      <c r="S187">
        <v>90</v>
      </c>
      <c r="T187">
        <v>3</v>
      </c>
      <c r="U187" s="3" t="s">
        <v>35</v>
      </c>
      <c r="V187" s="3" t="s">
        <v>36</v>
      </c>
      <c r="W187">
        <v>50</v>
      </c>
      <c r="X187">
        <v>150</v>
      </c>
      <c r="Y187">
        <v>54</v>
      </c>
      <c r="Z187" s="4">
        <v>0.9</v>
      </c>
      <c r="AA187" s="4">
        <v>1.0333333333333301</v>
      </c>
      <c r="AB187" s="4">
        <v>0.967741935483871</v>
      </c>
      <c r="AC187" s="4">
        <v>0.89999999999999702</v>
      </c>
      <c r="AD187" s="6">
        <v>500</v>
      </c>
      <c r="AE187" s="5">
        <v>4500</v>
      </c>
      <c r="AF187">
        <v>650</v>
      </c>
      <c r="AG187"/>
      <c r="AH187"/>
      <c r="AI187"/>
      <c r="AJ187"/>
    </row>
    <row r="188" spans="1:36" x14ac:dyDescent="0.25">
      <c r="A188">
        <v>187</v>
      </c>
      <c r="B188" s="1">
        <v>46040</v>
      </c>
      <c r="C188" s="1">
        <v>46040</v>
      </c>
      <c r="D188" s="2">
        <v>0.41666666666666669</v>
      </c>
      <c r="E188" s="2">
        <v>0.45833333333333331</v>
      </c>
      <c r="F188" s="3" t="s">
        <v>27</v>
      </c>
      <c r="G188" s="3" t="s">
        <v>264</v>
      </c>
      <c r="H188" s="3" t="s">
        <v>91</v>
      </c>
      <c r="I188" s="3" t="s">
        <v>30</v>
      </c>
      <c r="J188" s="3" t="s">
        <v>31</v>
      </c>
      <c r="K188" s="3" t="s">
        <v>32</v>
      </c>
      <c r="L188" s="3" t="s">
        <v>33</v>
      </c>
      <c r="M188">
        <v>100</v>
      </c>
      <c r="N188">
        <v>36</v>
      </c>
      <c r="O188">
        <v>60</v>
      </c>
      <c r="P188">
        <v>14</v>
      </c>
      <c r="Q188" s="3" t="s">
        <v>41</v>
      </c>
      <c r="R188">
        <v>75</v>
      </c>
      <c r="S188">
        <v>70</v>
      </c>
      <c r="T188">
        <v>5</v>
      </c>
      <c r="U188" s="3" t="s">
        <v>42</v>
      </c>
      <c r="V188" s="3" t="s">
        <v>43</v>
      </c>
      <c r="W188">
        <v>50</v>
      </c>
      <c r="X188">
        <v>250</v>
      </c>
      <c r="Y188">
        <v>46</v>
      </c>
      <c r="Z188" s="4">
        <v>0.76666666666666705</v>
      </c>
      <c r="AA188" s="4">
        <v>0.97826086956521696</v>
      </c>
      <c r="AB188" s="4">
        <v>0.93333333333333302</v>
      </c>
      <c r="AC188" s="4">
        <v>0.7</v>
      </c>
      <c r="AD188" s="6">
        <v>1166.6667</v>
      </c>
      <c r="AE188" s="5">
        <v>3500</v>
      </c>
      <c r="AF188">
        <v>1416.6667</v>
      </c>
      <c r="AG188"/>
      <c r="AH188"/>
      <c r="AI188"/>
      <c r="AJ188"/>
    </row>
    <row r="189" spans="1:36" x14ac:dyDescent="0.25">
      <c r="A189">
        <v>188</v>
      </c>
      <c r="B189" s="1">
        <v>46040</v>
      </c>
      <c r="C189" s="1">
        <v>46040</v>
      </c>
      <c r="D189" s="2">
        <v>0.45833333333333331</v>
      </c>
      <c r="E189" s="2">
        <v>0.5</v>
      </c>
      <c r="F189" s="3" t="s">
        <v>27</v>
      </c>
      <c r="G189" s="3" t="s">
        <v>265</v>
      </c>
      <c r="H189" s="3" t="s">
        <v>29</v>
      </c>
      <c r="I189" s="3" t="s">
        <v>45</v>
      </c>
      <c r="J189" s="3" t="s">
        <v>46</v>
      </c>
      <c r="K189" s="3" t="s">
        <v>47</v>
      </c>
      <c r="L189" s="3" t="s">
        <v>33</v>
      </c>
      <c r="M189">
        <v>120</v>
      </c>
      <c r="N189">
        <v>30</v>
      </c>
      <c r="O189">
        <v>60</v>
      </c>
      <c r="P189">
        <v>1</v>
      </c>
      <c r="Q189" s="3" t="s">
        <v>48</v>
      </c>
      <c r="R189">
        <v>100</v>
      </c>
      <c r="S189">
        <v>96</v>
      </c>
      <c r="T189">
        <v>4</v>
      </c>
      <c r="U189" s="3" t="s">
        <v>49</v>
      </c>
      <c r="V189" s="3" t="s">
        <v>50</v>
      </c>
      <c r="W189">
        <v>80</v>
      </c>
      <c r="X189">
        <v>320</v>
      </c>
      <c r="Y189">
        <v>59</v>
      </c>
      <c r="Z189" s="4">
        <v>0.98333333333333295</v>
      </c>
      <c r="AA189" s="4">
        <v>0.84745762711864403</v>
      </c>
      <c r="AB189" s="4">
        <v>0.96</v>
      </c>
      <c r="AC189" s="4">
        <v>0.8</v>
      </c>
      <c r="AD189" s="6">
        <v>160</v>
      </c>
      <c r="AE189" s="5">
        <v>7680</v>
      </c>
      <c r="AF189">
        <v>480</v>
      </c>
      <c r="AG189"/>
      <c r="AH189"/>
      <c r="AI189"/>
      <c r="AJ189"/>
    </row>
    <row r="190" spans="1:36" x14ac:dyDescent="0.25">
      <c r="A190">
        <v>189</v>
      </c>
      <c r="B190" s="1">
        <v>46040</v>
      </c>
      <c r="C190" s="1">
        <v>46040</v>
      </c>
      <c r="D190" s="2">
        <v>0.5</v>
      </c>
      <c r="E190" s="2">
        <v>0.54166666666666663</v>
      </c>
      <c r="F190" s="3" t="s">
        <v>56</v>
      </c>
      <c r="G190" s="3" t="s">
        <v>266</v>
      </c>
      <c r="H190" s="3" t="s">
        <v>58</v>
      </c>
      <c r="I190" s="3" t="s">
        <v>59</v>
      </c>
      <c r="J190" s="3" t="s">
        <v>60</v>
      </c>
      <c r="K190" s="3" t="s">
        <v>61</v>
      </c>
      <c r="L190" s="3" t="s">
        <v>62</v>
      </c>
      <c r="M190">
        <v>80</v>
      </c>
      <c r="N190">
        <v>45</v>
      </c>
      <c r="O190">
        <v>60</v>
      </c>
      <c r="P190">
        <v>7</v>
      </c>
      <c r="Q190" s="3" t="s">
        <v>34</v>
      </c>
      <c r="R190">
        <v>77</v>
      </c>
      <c r="S190">
        <v>77</v>
      </c>
      <c r="T190">
        <v>0</v>
      </c>
      <c r="U190" s="3" t="s">
        <v>63</v>
      </c>
      <c r="V190" s="3" t="s">
        <v>64</v>
      </c>
      <c r="W190">
        <v>120</v>
      </c>
      <c r="X190">
        <v>0</v>
      </c>
      <c r="Y190">
        <v>53</v>
      </c>
      <c r="Z190" s="4">
        <v>0.88333333333333297</v>
      </c>
      <c r="AA190" s="4">
        <v>1.0896226415094299</v>
      </c>
      <c r="AB190" s="4">
        <v>1</v>
      </c>
      <c r="AC190" s="4">
        <v>0.96249999999999603</v>
      </c>
      <c r="AD190" s="6">
        <v>1120</v>
      </c>
      <c r="AE190" s="5">
        <v>9240</v>
      </c>
      <c r="AF190">
        <v>1120</v>
      </c>
      <c r="AG190"/>
      <c r="AH190"/>
      <c r="AI190"/>
      <c r="AJ190"/>
    </row>
    <row r="191" spans="1:36" x14ac:dyDescent="0.25">
      <c r="A191">
        <v>190</v>
      </c>
      <c r="B191" s="1">
        <v>46040</v>
      </c>
      <c r="C191" s="1">
        <v>46040</v>
      </c>
      <c r="D191" s="2">
        <v>0.54166666666666663</v>
      </c>
      <c r="E191" s="2">
        <v>0.58333333333333337</v>
      </c>
      <c r="F191" s="3" t="s">
        <v>56</v>
      </c>
      <c r="G191" s="3" t="s">
        <v>267</v>
      </c>
      <c r="H191" s="3" t="s">
        <v>58</v>
      </c>
      <c r="I191" s="3" t="s">
        <v>59</v>
      </c>
      <c r="J191" s="3" t="s">
        <v>60</v>
      </c>
      <c r="K191" s="3" t="s">
        <v>61</v>
      </c>
      <c r="L191" s="3" t="s">
        <v>62</v>
      </c>
      <c r="M191">
        <v>80</v>
      </c>
      <c r="N191">
        <v>45</v>
      </c>
      <c r="O191">
        <v>60</v>
      </c>
      <c r="P191">
        <v>49</v>
      </c>
      <c r="Q191" s="3" t="s">
        <v>68</v>
      </c>
      <c r="R191">
        <v>50</v>
      </c>
      <c r="S191">
        <v>37</v>
      </c>
      <c r="T191">
        <v>13</v>
      </c>
      <c r="U191" s="3" t="s">
        <v>69</v>
      </c>
      <c r="V191" s="3" t="s">
        <v>70</v>
      </c>
      <c r="W191">
        <v>120</v>
      </c>
      <c r="X191">
        <v>1560</v>
      </c>
      <c r="Y191">
        <v>11</v>
      </c>
      <c r="Z191" s="4">
        <v>0.18333333333333299</v>
      </c>
      <c r="AA191" s="4">
        <v>3.4090909090909101</v>
      </c>
      <c r="AB191" s="4">
        <v>0.74</v>
      </c>
      <c r="AC191" s="4">
        <v>0.46249999999999902</v>
      </c>
      <c r="AD191" s="6">
        <v>7840</v>
      </c>
      <c r="AE191" s="5">
        <v>4440</v>
      </c>
      <c r="AF191">
        <v>9400</v>
      </c>
      <c r="AG191"/>
      <c r="AH191"/>
      <c r="AI191"/>
      <c r="AJ191"/>
    </row>
    <row r="192" spans="1:36" x14ac:dyDescent="0.25">
      <c r="A192">
        <v>191</v>
      </c>
      <c r="B192" s="1">
        <v>46040</v>
      </c>
      <c r="C192" s="1">
        <v>46040</v>
      </c>
      <c r="D192" s="2">
        <v>0.58333333333333337</v>
      </c>
      <c r="E192" s="2">
        <v>0.625</v>
      </c>
      <c r="F192" s="3" t="s">
        <v>56</v>
      </c>
      <c r="G192" s="3" t="s">
        <v>268</v>
      </c>
      <c r="H192" s="3" t="s">
        <v>58</v>
      </c>
      <c r="I192" s="3" t="s">
        <v>30</v>
      </c>
      <c r="J192" s="3" t="s">
        <v>31</v>
      </c>
      <c r="K192" s="3" t="s">
        <v>32</v>
      </c>
      <c r="L192" s="3" t="s">
        <v>33</v>
      </c>
      <c r="M192">
        <v>100</v>
      </c>
      <c r="N192">
        <v>36</v>
      </c>
      <c r="O192">
        <v>60</v>
      </c>
      <c r="P192">
        <v>9</v>
      </c>
      <c r="Q192" s="3" t="s">
        <v>34</v>
      </c>
      <c r="R192">
        <v>94</v>
      </c>
      <c r="S192">
        <v>91</v>
      </c>
      <c r="T192">
        <v>3</v>
      </c>
      <c r="U192" s="3" t="s">
        <v>72</v>
      </c>
      <c r="V192" s="3" t="s">
        <v>73</v>
      </c>
      <c r="W192">
        <v>50</v>
      </c>
      <c r="X192">
        <v>150</v>
      </c>
      <c r="Y192">
        <v>51</v>
      </c>
      <c r="Z192" s="4">
        <v>0.85</v>
      </c>
      <c r="AA192" s="4">
        <v>1.1058823529411801</v>
      </c>
      <c r="AB192" s="4">
        <v>0.96808510638297895</v>
      </c>
      <c r="AC192" s="4">
        <v>0.91000000000000303</v>
      </c>
      <c r="AD192" s="6">
        <v>750</v>
      </c>
      <c r="AE192" s="5">
        <v>4550</v>
      </c>
      <c r="AF192">
        <v>900</v>
      </c>
      <c r="AG192"/>
      <c r="AH192"/>
      <c r="AI192"/>
      <c r="AJ192"/>
    </row>
    <row r="193" spans="1:36" x14ac:dyDescent="0.25">
      <c r="A193">
        <v>192</v>
      </c>
      <c r="B193" s="1">
        <v>46040</v>
      </c>
      <c r="C193" s="1">
        <v>46040</v>
      </c>
      <c r="D193" s="2">
        <v>0.625</v>
      </c>
      <c r="E193" s="2">
        <v>0.66666666666666663</v>
      </c>
      <c r="F193" s="3" t="s">
        <v>56</v>
      </c>
      <c r="G193" s="3" t="s">
        <v>269</v>
      </c>
      <c r="H193" s="3" t="s">
        <v>91</v>
      </c>
      <c r="I193" s="3" t="s">
        <v>30</v>
      </c>
      <c r="J193" s="3" t="s">
        <v>31</v>
      </c>
      <c r="K193" s="3" t="s">
        <v>32</v>
      </c>
      <c r="L193" s="3" t="s">
        <v>33</v>
      </c>
      <c r="M193">
        <v>100</v>
      </c>
      <c r="N193">
        <v>36</v>
      </c>
      <c r="O193">
        <v>60</v>
      </c>
      <c r="P193">
        <v>3</v>
      </c>
      <c r="Q193" s="3" t="s">
        <v>78</v>
      </c>
      <c r="R193">
        <v>86</v>
      </c>
      <c r="S193">
        <v>86</v>
      </c>
      <c r="T193">
        <v>0</v>
      </c>
      <c r="U193" s="3" t="s">
        <v>75</v>
      </c>
      <c r="V193" s="3" t="s">
        <v>76</v>
      </c>
      <c r="W193">
        <v>50</v>
      </c>
      <c r="X193">
        <v>0</v>
      </c>
      <c r="Y193">
        <v>57</v>
      </c>
      <c r="Z193" s="4">
        <v>0.95</v>
      </c>
      <c r="AA193" s="4">
        <v>0.90526315789473699</v>
      </c>
      <c r="AB193" s="4">
        <v>1</v>
      </c>
      <c r="AC193" s="4">
        <v>0.86</v>
      </c>
      <c r="AD193" s="6">
        <v>250</v>
      </c>
      <c r="AE193" s="5">
        <v>4300</v>
      </c>
      <c r="AF193">
        <v>250</v>
      </c>
      <c r="AG193"/>
      <c r="AH193"/>
      <c r="AI193"/>
      <c r="AJ193"/>
    </row>
    <row r="194" spans="1:36" x14ac:dyDescent="0.25">
      <c r="A194">
        <v>193</v>
      </c>
      <c r="B194" s="1">
        <v>46041</v>
      </c>
      <c r="C194" s="1">
        <v>46041</v>
      </c>
      <c r="D194" s="2">
        <v>0.29166666666666669</v>
      </c>
      <c r="E194" s="2">
        <v>0.33333333333333331</v>
      </c>
      <c r="F194" s="3" t="s">
        <v>27</v>
      </c>
      <c r="G194" s="3" t="s">
        <v>270</v>
      </c>
      <c r="H194" s="3" t="s">
        <v>84</v>
      </c>
      <c r="I194" s="3" t="s">
        <v>30</v>
      </c>
      <c r="J194" s="3" t="s">
        <v>31</v>
      </c>
      <c r="K194" s="3" t="s">
        <v>32</v>
      </c>
      <c r="L194" s="3" t="s">
        <v>33</v>
      </c>
      <c r="M194">
        <v>100</v>
      </c>
      <c r="N194">
        <v>36</v>
      </c>
      <c r="O194">
        <v>60</v>
      </c>
      <c r="P194">
        <v>5</v>
      </c>
      <c r="Q194" s="3" t="s">
        <v>34</v>
      </c>
      <c r="R194">
        <v>99</v>
      </c>
      <c r="S194">
        <v>97</v>
      </c>
      <c r="T194">
        <v>2</v>
      </c>
      <c r="U194" s="3" t="s">
        <v>35</v>
      </c>
      <c r="V194" s="3" t="s">
        <v>36</v>
      </c>
      <c r="W194">
        <v>50</v>
      </c>
      <c r="X194">
        <v>100</v>
      </c>
      <c r="Y194">
        <v>55</v>
      </c>
      <c r="Z194" s="4">
        <v>0.91666666666666596</v>
      </c>
      <c r="AA194" s="4">
        <v>1.08</v>
      </c>
      <c r="AB194" s="4">
        <v>0.97979797979798</v>
      </c>
      <c r="AC194" s="4">
        <v>0.97</v>
      </c>
      <c r="AD194" s="6">
        <v>416.66669999999999</v>
      </c>
      <c r="AE194" s="5">
        <v>4850</v>
      </c>
      <c r="AF194">
        <v>516.66669999999999</v>
      </c>
      <c r="AG194"/>
      <c r="AH194"/>
      <c r="AI194"/>
      <c r="AJ194"/>
    </row>
    <row r="195" spans="1:36" x14ac:dyDescent="0.25">
      <c r="A195">
        <v>194</v>
      </c>
      <c r="B195" s="1">
        <v>46041</v>
      </c>
      <c r="C195" s="1">
        <v>46041</v>
      </c>
      <c r="D195" s="2">
        <v>0.33333333333333331</v>
      </c>
      <c r="E195" s="2">
        <v>0.375</v>
      </c>
      <c r="F195" s="3" t="s">
        <v>27</v>
      </c>
      <c r="G195" s="3" t="s">
        <v>271</v>
      </c>
      <c r="H195" s="3" t="s">
        <v>67</v>
      </c>
      <c r="I195" s="3" t="s">
        <v>30</v>
      </c>
      <c r="J195" s="3" t="s">
        <v>31</v>
      </c>
      <c r="K195" s="3" t="s">
        <v>32</v>
      </c>
      <c r="L195" s="3" t="s">
        <v>33</v>
      </c>
      <c r="M195">
        <v>100</v>
      </c>
      <c r="N195">
        <v>36</v>
      </c>
      <c r="O195">
        <v>60</v>
      </c>
      <c r="P195">
        <v>0</v>
      </c>
      <c r="Q195" s="3" t="s">
        <v>39</v>
      </c>
      <c r="R195">
        <v>96</v>
      </c>
      <c r="S195">
        <v>95</v>
      </c>
      <c r="T195">
        <v>1</v>
      </c>
      <c r="U195" s="3" t="s">
        <v>35</v>
      </c>
      <c r="V195" s="3" t="s">
        <v>36</v>
      </c>
      <c r="W195">
        <v>50</v>
      </c>
      <c r="X195">
        <v>50</v>
      </c>
      <c r="Y195">
        <v>60</v>
      </c>
      <c r="Z195" s="4">
        <v>1</v>
      </c>
      <c r="AA195" s="4">
        <v>0.96</v>
      </c>
      <c r="AB195" s="4">
        <v>0.98958333333333404</v>
      </c>
      <c r="AC195" s="4">
        <v>0.95000000000000095</v>
      </c>
      <c r="AD195" s="6">
        <v>0</v>
      </c>
      <c r="AE195" s="5">
        <v>4750</v>
      </c>
      <c r="AF195">
        <v>50</v>
      </c>
      <c r="AG195"/>
      <c r="AH195"/>
      <c r="AI195"/>
      <c r="AJ195"/>
    </row>
    <row r="196" spans="1:36" x14ac:dyDescent="0.25">
      <c r="A196">
        <v>195</v>
      </c>
      <c r="B196" s="1">
        <v>46041</v>
      </c>
      <c r="C196" s="1">
        <v>46041</v>
      </c>
      <c r="D196" s="2">
        <v>0.375</v>
      </c>
      <c r="E196" s="2">
        <v>0.41666666666666669</v>
      </c>
      <c r="F196" s="3" t="s">
        <v>27</v>
      </c>
      <c r="G196" s="3" t="s">
        <v>272</v>
      </c>
      <c r="H196" s="3" t="s">
        <v>29</v>
      </c>
      <c r="I196" s="3" t="s">
        <v>30</v>
      </c>
      <c r="J196" s="3" t="s">
        <v>31</v>
      </c>
      <c r="K196" s="3" t="s">
        <v>32</v>
      </c>
      <c r="L196" s="3" t="s">
        <v>33</v>
      </c>
      <c r="M196">
        <v>100</v>
      </c>
      <c r="N196">
        <v>36</v>
      </c>
      <c r="O196">
        <v>60</v>
      </c>
      <c r="P196">
        <v>20</v>
      </c>
      <c r="Q196" s="3" t="s">
        <v>41</v>
      </c>
      <c r="R196">
        <v>69</v>
      </c>
      <c r="S196">
        <v>63</v>
      </c>
      <c r="T196">
        <v>6</v>
      </c>
      <c r="U196" s="3" t="s">
        <v>42</v>
      </c>
      <c r="V196" s="3" t="s">
        <v>43</v>
      </c>
      <c r="W196">
        <v>50</v>
      </c>
      <c r="X196">
        <v>300</v>
      </c>
      <c r="Y196">
        <v>40</v>
      </c>
      <c r="Z196" s="4">
        <v>0.66666666666666696</v>
      </c>
      <c r="AA196" s="4">
        <v>1.0349999999999999</v>
      </c>
      <c r="AB196" s="4">
        <v>0.91304347826086996</v>
      </c>
      <c r="AC196" s="4">
        <v>0.63</v>
      </c>
      <c r="AD196" s="6">
        <v>1666.6667</v>
      </c>
      <c r="AE196" s="5">
        <v>3150</v>
      </c>
      <c r="AF196">
        <v>1966.6667</v>
      </c>
      <c r="AG196"/>
      <c r="AH196"/>
      <c r="AI196"/>
      <c r="AJ196"/>
    </row>
    <row r="197" spans="1:36" x14ac:dyDescent="0.25">
      <c r="A197">
        <v>196</v>
      </c>
      <c r="B197" s="1">
        <v>46041</v>
      </c>
      <c r="C197" s="1">
        <v>46041</v>
      </c>
      <c r="D197" s="2">
        <v>0.41666666666666669</v>
      </c>
      <c r="E197" s="2">
        <v>0.45833333333333331</v>
      </c>
      <c r="F197" s="3" t="s">
        <v>27</v>
      </c>
      <c r="G197" s="3" t="s">
        <v>273</v>
      </c>
      <c r="H197" s="3" t="s">
        <v>117</v>
      </c>
      <c r="I197" s="3" t="s">
        <v>45</v>
      </c>
      <c r="J197" s="3" t="s">
        <v>46</v>
      </c>
      <c r="K197" s="3" t="s">
        <v>47</v>
      </c>
      <c r="L197" s="3" t="s">
        <v>33</v>
      </c>
      <c r="M197">
        <v>120</v>
      </c>
      <c r="N197">
        <v>30</v>
      </c>
      <c r="O197">
        <v>60</v>
      </c>
      <c r="P197">
        <v>2</v>
      </c>
      <c r="Q197" s="3" t="s">
        <v>48</v>
      </c>
      <c r="R197">
        <v>100</v>
      </c>
      <c r="S197">
        <v>95</v>
      </c>
      <c r="T197">
        <v>5</v>
      </c>
      <c r="U197" s="3" t="s">
        <v>49</v>
      </c>
      <c r="V197" s="3" t="s">
        <v>50</v>
      </c>
      <c r="W197">
        <v>80</v>
      </c>
      <c r="X197">
        <v>400</v>
      </c>
      <c r="Y197">
        <v>58</v>
      </c>
      <c r="Z197" s="4">
        <v>0.96666666666666701</v>
      </c>
      <c r="AA197" s="4">
        <v>0.86206896551724099</v>
      </c>
      <c r="AB197" s="4">
        <v>0.95</v>
      </c>
      <c r="AC197" s="4">
        <v>0.79166666666666596</v>
      </c>
      <c r="AD197" s="6">
        <v>320</v>
      </c>
      <c r="AE197" s="5">
        <v>7600</v>
      </c>
      <c r="AF197">
        <v>720</v>
      </c>
      <c r="AG197"/>
      <c r="AH197"/>
      <c r="AI197"/>
      <c r="AJ197"/>
    </row>
    <row r="198" spans="1:36" x14ac:dyDescent="0.25">
      <c r="A198">
        <v>197</v>
      </c>
      <c r="B198" s="1">
        <v>46041</v>
      </c>
      <c r="C198" s="1">
        <v>46041</v>
      </c>
      <c r="D198" s="2">
        <v>0.45833333333333331</v>
      </c>
      <c r="E198" s="2">
        <v>0.5</v>
      </c>
      <c r="F198" s="3" t="s">
        <v>27</v>
      </c>
      <c r="G198" s="3" t="s">
        <v>274</v>
      </c>
      <c r="H198" s="3" t="s">
        <v>67</v>
      </c>
      <c r="I198" s="3" t="s">
        <v>45</v>
      </c>
      <c r="J198" s="3" t="s">
        <v>46</v>
      </c>
      <c r="K198" s="3" t="s">
        <v>47</v>
      </c>
      <c r="L198" s="3" t="s">
        <v>33</v>
      </c>
      <c r="M198">
        <v>120</v>
      </c>
      <c r="N198">
        <v>30</v>
      </c>
      <c r="O198">
        <v>60</v>
      </c>
      <c r="P198">
        <v>0</v>
      </c>
      <c r="Q198" s="3" t="s">
        <v>39</v>
      </c>
      <c r="R198">
        <v>109</v>
      </c>
      <c r="S198">
        <v>109</v>
      </c>
      <c r="T198">
        <v>0</v>
      </c>
      <c r="U198" s="3" t="s">
        <v>49</v>
      </c>
      <c r="V198" s="3" t="s">
        <v>50</v>
      </c>
      <c r="W198">
        <v>80</v>
      </c>
      <c r="X198">
        <v>0</v>
      </c>
      <c r="Y198">
        <v>60</v>
      </c>
      <c r="Z198" s="4">
        <v>1</v>
      </c>
      <c r="AA198" s="4">
        <v>0.90833333333333299</v>
      </c>
      <c r="AB198" s="4">
        <v>1</v>
      </c>
      <c r="AC198" s="4">
        <v>0.90833333333333299</v>
      </c>
      <c r="AD198" s="6">
        <v>0</v>
      </c>
      <c r="AE198" s="5">
        <v>8720</v>
      </c>
      <c r="AF198">
        <v>0</v>
      </c>
      <c r="AG198"/>
      <c r="AH198"/>
      <c r="AI198"/>
      <c r="AJ198"/>
    </row>
    <row r="199" spans="1:36" x14ac:dyDescent="0.25">
      <c r="A199">
        <v>198</v>
      </c>
      <c r="B199" s="1">
        <v>46041</v>
      </c>
      <c r="C199" s="1">
        <v>46041</v>
      </c>
      <c r="D199" s="2">
        <v>0.5</v>
      </c>
      <c r="E199" s="2">
        <v>0.54166666666666663</v>
      </c>
      <c r="F199" s="3" t="s">
        <v>27</v>
      </c>
      <c r="G199" s="3" t="s">
        <v>275</v>
      </c>
      <c r="H199" s="3" t="s">
        <v>91</v>
      </c>
      <c r="I199" s="3" t="s">
        <v>45</v>
      </c>
      <c r="J199" s="3" t="s">
        <v>46</v>
      </c>
      <c r="K199" s="3" t="s">
        <v>47</v>
      </c>
      <c r="L199" s="3" t="s">
        <v>33</v>
      </c>
      <c r="M199">
        <v>120</v>
      </c>
      <c r="N199">
        <v>30</v>
      </c>
      <c r="O199">
        <v>60</v>
      </c>
      <c r="P199">
        <v>5</v>
      </c>
      <c r="Q199" s="3" t="s">
        <v>53</v>
      </c>
      <c r="R199">
        <v>86</v>
      </c>
      <c r="S199">
        <v>80</v>
      </c>
      <c r="T199">
        <v>6</v>
      </c>
      <c r="U199" s="3" t="s">
        <v>54</v>
      </c>
      <c r="V199" s="3" t="s">
        <v>55</v>
      </c>
      <c r="W199">
        <v>80</v>
      </c>
      <c r="X199">
        <v>480</v>
      </c>
      <c r="Y199">
        <v>55</v>
      </c>
      <c r="Z199" s="4">
        <v>0.91666666666666596</v>
      </c>
      <c r="AA199" s="4">
        <v>0.78181818181818197</v>
      </c>
      <c r="AB199" s="4">
        <v>0.93023255813953498</v>
      </c>
      <c r="AC199" s="4">
        <v>0.66666666666666596</v>
      </c>
      <c r="AD199" s="6">
        <v>800</v>
      </c>
      <c r="AE199" s="5">
        <v>6400</v>
      </c>
      <c r="AF199">
        <v>1280</v>
      </c>
      <c r="AG199"/>
      <c r="AH199"/>
      <c r="AI199"/>
      <c r="AJ199"/>
    </row>
    <row r="200" spans="1:36" x14ac:dyDescent="0.25">
      <c r="A200">
        <v>199</v>
      </c>
      <c r="B200" s="1">
        <v>46041</v>
      </c>
      <c r="C200" s="1">
        <v>46041</v>
      </c>
      <c r="D200" s="2">
        <v>0.54166666666666663</v>
      </c>
      <c r="E200" s="2">
        <v>0.58333333333333337</v>
      </c>
      <c r="F200" s="3" t="s">
        <v>56</v>
      </c>
      <c r="G200" s="3" t="s">
        <v>276</v>
      </c>
      <c r="H200" s="3" t="s">
        <v>38</v>
      </c>
      <c r="I200" s="3" t="s">
        <v>59</v>
      </c>
      <c r="J200" s="3" t="s">
        <v>60</v>
      </c>
      <c r="K200" s="3" t="s">
        <v>61</v>
      </c>
      <c r="L200" s="3" t="s">
        <v>62</v>
      </c>
      <c r="M200">
        <v>80</v>
      </c>
      <c r="N200">
        <v>45</v>
      </c>
      <c r="O200">
        <v>60</v>
      </c>
      <c r="P200">
        <v>7</v>
      </c>
      <c r="Q200" s="3" t="s">
        <v>34</v>
      </c>
      <c r="R200">
        <v>72</v>
      </c>
      <c r="S200">
        <v>72</v>
      </c>
      <c r="T200">
        <v>0</v>
      </c>
      <c r="U200" s="3" t="s">
        <v>63</v>
      </c>
      <c r="V200" s="3" t="s">
        <v>64</v>
      </c>
      <c r="W200">
        <v>120</v>
      </c>
      <c r="X200">
        <v>0</v>
      </c>
      <c r="Y200">
        <v>53</v>
      </c>
      <c r="Z200" s="4">
        <v>0.88333333333333297</v>
      </c>
      <c r="AA200" s="4">
        <v>1.0188679245283001</v>
      </c>
      <c r="AB200" s="4">
        <v>1</v>
      </c>
      <c r="AC200" s="4">
        <v>0.89999999999999802</v>
      </c>
      <c r="AD200" s="6">
        <v>1120</v>
      </c>
      <c r="AE200" s="5">
        <v>8640</v>
      </c>
      <c r="AF200">
        <v>1120</v>
      </c>
      <c r="AG200"/>
      <c r="AH200"/>
      <c r="AI200"/>
      <c r="AJ200"/>
    </row>
    <row r="201" spans="1:36" x14ac:dyDescent="0.25">
      <c r="A201">
        <v>200</v>
      </c>
      <c r="B201" s="1">
        <v>46041</v>
      </c>
      <c r="C201" s="1">
        <v>46041</v>
      </c>
      <c r="D201" s="2">
        <v>0.58333333333333337</v>
      </c>
      <c r="E201" s="2">
        <v>0.625</v>
      </c>
      <c r="F201" s="3" t="s">
        <v>56</v>
      </c>
      <c r="G201" s="3" t="s">
        <v>277</v>
      </c>
      <c r="H201" s="3" t="s">
        <v>80</v>
      </c>
      <c r="I201" s="3" t="s">
        <v>59</v>
      </c>
      <c r="J201" s="3" t="s">
        <v>60</v>
      </c>
      <c r="K201" s="3" t="s">
        <v>61</v>
      </c>
      <c r="L201" s="3" t="s">
        <v>62</v>
      </c>
      <c r="M201">
        <v>80</v>
      </c>
      <c r="N201">
        <v>45</v>
      </c>
      <c r="O201">
        <v>60</v>
      </c>
      <c r="P201">
        <v>0</v>
      </c>
      <c r="Q201" s="3" t="s">
        <v>39</v>
      </c>
      <c r="R201">
        <v>71</v>
      </c>
      <c r="S201">
        <v>66</v>
      </c>
      <c r="T201">
        <v>5</v>
      </c>
      <c r="U201" s="3" t="s">
        <v>63</v>
      </c>
      <c r="V201" s="3" t="s">
        <v>64</v>
      </c>
      <c r="W201">
        <v>120</v>
      </c>
      <c r="X201">
        <v>600</v>
      </c>
      <c r="Y201">
        <v>60</v>
      </c>
      <c r="Z201" s="4">
        <v>1</v>
      </c>
      <c r="AA201" s="4">
        <v>0.88749999999999996</v>
      </c>
      <c r="AB201" s="4">
        <v>0.92957746478873204</v>
      </c>
      <c r="AC201" s="4">
        <v>0.82499999999999996</v>
      </c>
      <c r="AD201" s="6">
        <v>0</v>
      </c>
      <c r="AE201" s="5">
        <v>7920</v>
      </c>
      <c r="AF201">
        <v>600</v>
      </c>
      <c r="AG201"/>
      <c r="AH201"/>
      <c r="AI201"/>
      <c r="AJ201"/>
    </row>
    <row r="202" spans="1:36" x14ac:dyDescent="0.25">
      <c r="A202">
        <v>201</v>
      </c>
      <c r="B202" s="1">
        <v>46041</v>
      </c>
      <c r="C202" s="1">
        <v>46041</v>
      </c>
      <c r="D202" s="2">
        <v>0.625</v>
      </c>
      <c r="E202" s="2">
        <v>0.66666666666666663</v>
      </c>
      <c r="F202" s="3" t="s">
        <v>56</v>
      </c>
      <c r="G202" s="3" t="s">
        <v>63</v>
      </c>
      <c r="H202" s="3" t="s">
        <v>58</v>
      </c>
      <c r="I202" s="3" t="s">
        <v>59</v>
      </c>
      <c r="J202" s="3" t="s">
        <v>60</v>
      </c>
      <c r="K202" s="3" t="s">
        <v>61</v>
      </c>
      <c r="L202" s="3" t="s">
        <v>62</v>
      </c>
      <c r="M202">
        <v>80</v>
      </c>
      <c r="N202">
        <v>45</v>
      </c>
      <c r="O202">
        <v>60</v>
      </c>
      <c r="P202">
        <v>59</v>
      </c>
      <c r="Q202" s="3" t="s">
        <v>68</v>
      </c>
      <c r="R202">
        <v>50</v>
      </c>
      <c r="S202">
        <v>0</v>
      </c>
      <c r="T202">
        <v>50</v>
      </c>
      <c r="U202" s="3" t="s">
        <v>69</v>
      </c>
      <c r="V202" s="3" t="s">
        <v>70</v>
      </c>
      <c r="W202">
        <v>120</v>
      </c>
      <c r="X202">
        <v>6000</v>
      </c>
      <c r="Y202">
        <v>1</v>
      </c>
      <c r="Z202" s="4">
        <v>1.6666666666666701E-2</v>
      </c>
      <c r="AA202" s="4">
        <v>37.5</v>
      </c>
      <c r="AB202" s="4">
        <v>0</v>
      </c>
      <c r="AC202" s="4">
        <v>0</v>
      </c>
      <c r="AD202" s="6">
        <v>9440</v>
      </c>
      <c r="AE202" s="5">
        <v>0</v>
      </c>
      <c r="AF202">
        <v>15440</v>
      </c>
      <c r="AG202"/>
      <c r="AH202"/>
      <c r="AI202"/>
      <c r="AJ202"/>
    </row>
    <row r="203" spans="1:36" x14ac:dyDescent="0.25">
      <c r="A203">
        <v>202</v>
      </c>
      <c r="B203" s="1">
        <v>46041</v>
      </c>
      <c r="C203" s="1">
        <v>46041</v>
      </c>
      <c r="D203" s="2">
        <v>0.66666666666666663</v>
      </c>
      <c r="E203" s="2">
        <v>0.70833333333333337</v>
      </c>
      <c r="F203" s="3" t="s">
        <v>56</v>
      </c>
      <c r="G203" s="3" t="s">
        <v>69</v>
      </c>
      <c r="H203" s="3" t="s">
        <v>98</v>
      </c>
      <c r="I203" s="3" t="s">
        <v>30</v>
      </c>
      <c r="J203" s="3" t="s">
        <v>31</v>
      </c>
      <c r="K203" s="3" t="s">
        <v>32</v>
      </c>
      <c r="L203" s="3" t="s">
        <v>33</v>
      </c>
      <c r="M203">
        <v>100</v>
      </c>
      <c r="N203">
        <v>36</v>
      </c>
      <c r="O203">
        <v>60</v>
      </c>
      <c r="P203">
        <v>8</v>
      </c>
      <c r="Q203" s="3" t="s">
        <v>34</v>
      </c>
      <c r="R203">
        <v>94</v>
      </c>
      <c r="S203">
        <v>92</v>
      </c>
      <c r="T203">
        <v>2</v>
      </c>
      <c r="U203" s="3" t="s">
        <v>72</v>
      </c>
      <c r="V203" s="3" t="s">
        <v>73</v>
      </c>
      <c r="W203">
        <v>50</v>
      </c>
      <c r="X203">
        <v>100</v>
      </c>
      <c r="Y203">
        <v>52</v>
      </c>
      <c r="Z203" s="4">
        <v>0.86666666666666703</v>
      </c>
      <c r="AA203" s="4">
        <v>1.0846153846153801</v>
      </c>
      <c r="AB203" s="4">
        <v>0.97872340425531901</v>
      </c>
      <c r="AC203" s="4">
        <v>0.91999999999999604</v>
      </c>
      <c r="AD203" s="6">
        <v>666.66669999999999</v>
      </c>
      <c r="AE203" s="5">
        <v>4600</v>
      </c>
      <c r="AF203">
        <v>766.66669999999999</v>
      </c>
      <c r="AG203"/>
      <c r="AH203"/>
      <c r="AI203"/>
      <c r="AJ203"/>
    </row>
    <row r="204" spans="1:36" x14ac:dyDescent="0.25">
      <c r="A204">
        <v>203</v>
      </c>
      <c r="B204" s="1">
        <v>46041</v>
      </c>
      <c r="C204" s="1">
        <v>46041</v>
      </c>
      <c r="D204" s="2">
        <v>0.70833333333333337</v>
      </c>
      <c r="E204" s="2">
        <v>0.75</v>
      </c>
      <c r="F204" s="3" t="s">
        <v>56</v>
      </c>
      <c r="G204" s="3" t="s">
        <v>72</v>
      </c>
      <c r="H204" s="3" t="s">
        <v>117</v>
      </c>
      <c r="I204" s="3" t="s">
        <v>30</v>
      </c>
      <c r="J204" s="3" t="s">
        <v>31</v>
      </c>
      <c r="K204" s="3" t="s">
        <v>32</v>
      </c>
      <c r="L204" s="3" t="s">
        <v>33</v>
      </c>
      <c r="M204">
        <v>100</v>
      </c>
      <c r="N204">
        <v>36</v>
      </c>
      <c r="O204">
        <v>60</v>
      </c>
      <c r="P204">
        <v>0</v>
      </c>
      <c r="Q204" s="3" t="s">
        <v>39</v>
      </c>
      <c r="R204">
        <v>98</v>
      </c>
      <c r="S204">
        <v>97</v>
      </c>
      <c r="T204">
        <v>1</v>
      </c>
      <c r="U204" s="3" t="s">
        <v>75</v>
      </c>
      <c r="V204" s="3" t="s">
        <v>76</v>
      </c>
      <c r="W204">
        <v>50</v>
      </c>
      <c r="X204">
        <v>50</v>
      </c>
      <c r="Y204">
        <v>60</v>
      </c>
      <c r="Z204" s="4">
        <v>1</v>
      </c>
      <c r="AA204" s="4">
        <v>0.98</v>
      </c>
      <c r="AB204" s="4">
        <v>0.98979591836734704</v>
      </c>
      <c r="AC204" s="4">
        <v>0.97</v>
      </c>
      <c r="AD204" s="6">
        <v>0</v>
      </c>
      <c r="AE204" s="5">
        <v>4850</v>
      </c>
      <c r="AF204">
        <v>50</v>
      </c>
      <c r="AG204"/>
      <c r="AH204"/>
      <c r="AI204"/>
      <c r="AJ204"/>
    </row>
    <row r="205" spans="1:36" x14ac:dyDescent="0.25">
      <c r="A205">
        <v>204</v>
      </c>
      <c r="B205" s="1">
        <v>46041</v>
      </c>
      <c r="C205" s="1">
        <v>46041</v>
      </c>
      <c r="D205" s="2">
        <v>0.70833333333333337</v>
      </c>
      <c r="E205" s="2">
        <v>0.75</v>
      </c>
      <c r="F205" s="3" t="s">
        <v>56</v>
      </c>
      <c r="G205" s="3" t="s">
        <v>278</v>
      </c>
      <c r="H205" s="3" t="s">
        <v>84</v>
      </c>
      <c r="I205" s="3" t="s">
        <v>30</v>
      </c>
      <c r="J205" s="3" t="s">
        <v>31</v>
      </c>
      <c r="K205" s="3" t="s">
        <v>32</v>
      </c>
      <c r="L205" s="3" t="s">
        <v>33</v>
      </c>
      <c r="M205">
        <v>100</v>
      </c>
      <c r="N205">
        <v>36</v>
      </c>
      <c r="O205">
        <v>60</v>
      </c>
      <c r="P205">
        <v>2</v>
      </c>
      <c r="Q205" s="3" t="s">
        <v>78</v>
      </c>
      <c r="R205">
        <v>91</v>
      </c>
      <c r="S205">
        <v>91</v>
      </c>
      <c r="T205">
        <v>0</v>
      </c>
      <c r="U205" s="3" t="s">
        <v>75</v>
      </c>
      <c r="V205" s="3" t="s">
        <v>76</v>
      </c>
      <c r="W205">
        <v>50</v>
      </c>
      <c r="X205">
        <v>0</v>
      </c>
      <c r="Y205">
        <v>58</v>
      </c>
      <c r="Z205" s="4">
        <v>0.96666666666666701</v>
      </c>
      <c r="AA205" s="4">
        <v>0.94137931034482802</v>
      </c>
      <c r="AB205" s="4">
        <v>1</v>
      </c>
      <c r="AC205" s="4">
        <v>0.91000000000000103</v>
      </c>
      <c r="AD205" s="6">
        <v>166.66669999999999</v>
      </c>
      <c r="AE205" s="5">
        <v>4550</v>
      </c>
      <c r="AF205">
        <v>166.66669999999999</v>
      </c>
      <c r="AG205"/>
      <c r="AH205"/>
      <c r="AI205"/>
      <c r="AJ205"/>
    </row>
    <row r="206" spans="1:36" x14ac:dyDescent="0.25">
      <c r="A206">
        <v>205</v>
      </c>
      <c r="B206" s="1">
        <v>46042</v>
      </c>
      <c r="C206" s="1">
        <v>46042</v>
      </c>
      <c r="D206" s="2">
        <v>0.29166666666666669</v>
      </c>
      <c r="E206" s="2">
        <v>0.33333333333333331</v>
      </c>
      <c r="F206" s="3" t="s">
        <v>27</v>
      </c>
      <c r="G206" s="3" t="s">
        <v>279</v>
      </c>
      <c r="H206" s="3" t="s">
        <v>84</v>
      </c>
      <c r="I206" s="3" t="s">
        <v>45</v>
      </c>
      <c r="J206" s="3" t="s">
        <v>46</v>
      </c>
      <c r="K206" s="3" t="s">
        <v>47</v>
      </c>
      <c r="L206" s="3" t="s">
        <v>33</v>
      </c>
      <c r="M206">
        <v>120</v>
      </c>
      <c r="N206">
        <v>30</v>
      </c>
      <c r="O206">
        <v>60</v>
      </c>
      <c r="P206">
        <v>0</v>
      </c>
      <c r="Q206" s="3" t="s">
        <v>39</v>
      </c>
      <c r="R206">
        <v>109</v>
      </c>
      <c r="S206">
        <v>101</v>
      </c>
      <c r="T206">
        <v>8</v>
      </c>
      <c r="U206" s="3" t="s">
        <v>35</v>
      </c>
      <c r="V206" s="3" t="s">
        <v>36</v>
      </c>
      <c r="W206">
        <v>80</v>
      </c>
      <c r="X206">
        <v>640</v>
      </c>
      <c r="Y206">
        <v>60</v>
      </c>
      <c r="Z206" s="4">
        <v>1</v>
      </c>
      <c r="AA206" s="4">
        <v>0.90833333333333299</v>
      </c>
      <c r="AB206" s="4">
        <v>0.92660550458715596</v>
      </c>
      <c r="AC206" s="4">
        <v>0.84166666666666601</v>
      </c>
      <c r="AD206" s="6">
        <v>0</v>
      </c>
      <c r="AE206" s="5">
        <v>8080</v>
      </c>
      <c r="AF206">
        <v>640</v>
      </c>
      <c r="AG206"/>
      <c r="AH206"/>
      <c r="AI206"/>
      <c r="AJ206"/>
    </row>
    <row r="207" spans="1:36" x14ac:dyDescent="0.25">
      <c r="A207">
        <v>206</v>
      </c>
      <c r="B207" s="1">
        <v>46042</v>
      </c>
      <c r="C207" s="1">
        <v>46042</v>
      </c>
      <c r="D207" s="2">
        <v>0.33333333333333331</v>
      </c>
      <c r="E207" s="2">
        <v>0.375</v>
      </c>
      <c r="F207" s="3" t="s">
        <v>27</v>
      </c>
      <c r="G207" s="3" t="s">
        <v>280</v>
      </c>
      <c r="H207" s="3" t="s">
        <v>29</v>
      </c>
      <c r="I207" s="3" t="s">
        <v>45</v>
      </c>
      <c r="J207" s="3" t="s">
        <v>46</v>
      </c>
      <c r="K207" s="3" t="s">
        <v>47</v>
      </c>
      <c r="L207" s="3" t="s">
        <v>33</v>
      </c>
      <c r="M207">
        <v>120</v>
      </c>
      <c r="N207">
        <v>30</v>
      </c>
      <c r="O207">
        <v>60</v>
      </c>
      <c r="P207">
        <v>4</v>
      </c>
      <c r="Q207" s="3" t="s">
        <v>82</v>
      </c>
      <c r="R207">
        <v>0</v>
      </c>
      <c r="S207">
        <v>0</v>
      </c>
      <c r="T207">
        <v>0</v>
      </c>
      <c r="U207" s="3" t="s">
        <v>42</v>
      </c>
      <c r="V207" s="3" t="s">
        <v>43</v>
      </c>
      <c r="W207">
        <v>80</v>
      </c>
      <c r="X207">
        <v>0</v>
      </c>
      <c r="Y207">
        <v>56</v>
      </c>
      <c r="Z207" s="4">
        <v>0.93333333333333302</v>
      </c>
      <c r="AA207" s="4">
        <v>0</v>
      </c>
      <c r="AB207" s="4">
        <v>0</v>
      </c>
      <c r="AC207" s="4">
        <v>0</v>
      </c>
      <c r="AD207" s="6">
        <v>640</v>
      </c>
      <c r="AE207" s="5">
        <v>0</v>
      </c>
      <c r="AF207">
        <v>640</v>
      </c>
      <c r="AG207"/>
      <c r="AH207"/>
      <c r="AI207"/>
      <c r="AJ207"/>
    </row>
    <row r="208" spans="1:36" x14ac:dyDescent="0.25">
      <c r="A208">
        <v>207</v>
      </c>
      <c r="B208" s="1">
        <v>46042</v>
      </c>
      <c r="C208" s="1">
        <v>46042</v>
      </c>
      <c r="D208" s="2">
        <v>0.375</v>
      </c>
      <c r="E208" s="2">
        <v>0.41666666666666669</v>
      </c>
      <c r="F208" s="3" t="s">
        <v>27</v>
      </c>
      <c r="G208" s="3" t="s">
        <v>281</v>
      </c>
      <c r="H208" s="3" t="s">
        <v>29</v>
      </c>
      <c r="I208" s="3" t="s">
        <v>45</v>
      </c>
      <c r="J208" s="3" t="s">
        <v>46</v>
      </c>
      <c r="K208" s="3" t="s">
        <v>47</v>
      </c>
      <c r="L208" s="3" t="s">
        <v>33</v>
      </c>
      <c r="M208">
        <v>120</v>
      </c>
      <c r="N208">
        <v>30</v>
      </c>
      <c r="O208">
        <v>60</v>
      </c>
      <c r="P208">
        <v>2</v>
      </c>
      <c r="Q208" s="3" t="s">
        <v>85</v>
      </c>
      <c r="R208">
        <v>108</v>
      </c>
      <c r="S208">
        <v>106</v>
      </c>
      <c r="T208">
        <v>2</v>
      </c>
      <c r="U208" s="3" t="s">
        <v>42</v>
      </c>
      <c r="V208" s="3" t="s">
        <v>43</v>
      </c>
      <c r="W208">
        <v>80</v>
      </c>
      <c r="X208">
        <v>160</v>
      </c>
      <c r="Y208">
        <v>58</v>
      </c>
      <c r="Z208" s="4">
        <v>0.96666666666666701</v>
      </c>
      <c r="AA208" s="4">
        <v>0.931034482758621</v>
      </c>
      <c r="AB208" s="4">
        <v>0.98148148148148195</v>
      </c>
      <c r="AC208" s="4">
        <v>0.88333333333333397</v>
      </c>
      <c r="AD208" s="6">
        <v>320</v>
      </c>
      <c r="AE208" s="5">
        <v>8480</v>
      </c>
      <c r="AF208">
        <v>480</v>
      </c>
      <c r="AG208"/>
      <c r="AH208"/>
      <c r="AI208"/>
      <c r="AJ208"/>
    </row>
    <row r="209" spans="1:36" x14ac:dyDescent="0.25">
      <c r="A209">
        <v>208</v>
      </c>
      <c r="B209" s="1">
        <v>46042</v>
      </c>
      <c r="C209" s="1">
        <v>46042</v>
      </c>
      <c r="D209" s="2">
        <v>0.41666666666666669</v>
      </c>
      <c r="E209" s="2">
        <v>0.45833333333333331</v>
      </c>
      <c r="F209" s="3" t="s">
        <v>27</v>
      </c>
      <c r="G209" s="3" t="s">
        <v>282</v>
      </c>
      <c r="H209" s="3" t="s">
        <v>67</v>
      </c>
      <c r="I209" s="3" t="s">
        <v>59</v>
      </c>
      <c r="J209" s="3" t="s">
        <v>60</v>
      </c>
      <c r="K209" s="3" t="s">
        <v>61</v>
      </c>
      <c r="L209" s="3" t="s">
        <v>62</v>
      </c>
      <c r="M209">
        <v>80</v>
      </c>
      <c r="N209">
        <v>45</v>
      </c>
      <c r="O209">
        <v>60</v>
      </c>
      <c r="P209">
        <v>0</v>
      </c>
      <c r="Q209" s="3" t="s">
        <v>39</v>
      </c>
      <c r="R209">
        <v>86</v>
      </c>
      <c r="S209">
        <v>78</v>
      </c>
      <c r="T209">
        <v>8</v>
      </c>
      <c r="U209" s="3" t="s">
        <v>49</v>
      </c>
      <c r="V209" s="3" t="s">
        <v>50</v>
      </c>
      <c r="W209">
        <v>120</v>
      </c>
      <c r="X209">
        <v>960</v>
      </c>
      <c r="Y209">
        <v>60</v>
      </c>
      <c r="Z209" s="4">
        <v>1</v>
      </c>
      <c r="AA209" s="4">
        <v>1.075</v>
      </c>
      <c r="AB209" s="4">
        <v>0.90697674418604601</v>
      </c>
      <c r="AC209" s="4">
        <v>0.97499999999999898</v>
      </c>
      <c r="AD209" s="6">
        <v>0</v>
      </c>
      <c r="AE209" s="5">
        <v>9360</v>
      </c>
      <c r="AF209">
        <v>960</v>
      </c>
      <c r="AG209"/>
      <c r="AH209"/>
      <c r="AI209"/>
      <c r="AJ209"/>
    </row>
    <row r="210" spans="1:36" x14ac:dyDescent="0.25">
      <c r="A210">
        <v>209</v>
      </c>
      <c r="B210" s="1">
        <v>46042</v>
      </c>
      <c r="C210" s="1">
        <v>46042</v>
      </c>
      <c r="D210" s="2">
        <v>0.45833333333333331</v>
      </c>
      <c r="E210" s="2">
        <v>0.5</v>
      </c>
      <c r="F210" s="3" t="s">
        <v>27</v>
      </c>
      <c r="G210" s="3" t="s">
        <v>283</v>
      </c>
      <c r="H210" s="3" t="s">
        <v>29</v>
      </c>
      <c r="I210" s="3" t="s">
        <v>59</v>
      </c>
      <c r="J210" s="3" t="s">
        <v>60</v>
      </c>
      <c r="K210" s="3" t="s">
        <v>61</v>
      </c>
      <c r="L210" s="3" t="s">
        <v>62</v>
      </c>
      <c r="M210">
        <v>80</v>
      </c>
      <c r="N210">
        <v>45</v>
      </c>
      <c r="O210">
        <v>60</v>
      </c>
      <c r="P210">
        <v>11</v>
      </c>
      <c r="Q210" s="3" t="s">
        <v>88</v>
      </c>
      <c r="R210">
        <v>67</v>
      </c>
      <c r="S210">
        <v>67</v>
      </c>
      <c r="T210">
        <v>0</v>
      </c>
      <c r="U210" s="3" t="s">
        <v>54</v>
      </c>
      <c r="V210" s="3" t="s">
        <v>55</v>
      </c>
      <c r="W210">
        <v>120</v>
      </c>
      <c r="X210">
        <v>0</v>
      </c>
      <c r="Y210">
        <v>49</v>
      </c>
      <c r="Z210" s="4">
        <v>0.81666666666666698</v>
      </c>
      <c r="AA210" s="4">
        <v>1.02551020408163</v>
      </c>
      <c r="AB210" s="4">
        <v>1</v>
      </c>
      <c r="AC210" s="4">
        <v>0.83749999999999802</v>
      </c>
      <c r="AD210" s="6">
        <v>1760</v>
      </c>
      <c r="AE210" s="5">
        <v>8040</v>
      </c>
      <c r="AF210">
        <v>1760</v>
      </c>
      <c r="AG210"/>
      <c r="AH210"/>
      <c r="AI210"/>
      <c r="AJ210"/>
    </row>
    <row r="211" spans="1:36" x14ac:dyDescent="0.25">
      <c r="A211">
        <v>210</v>
      </c>
      <c r="B211" s="1">
        <v>46042</v>
      </c>
      <c r="C211" s="1">
        <v>46042</v>
      </c>
      <c r="D211" s="2">
        <v>0.5</v>
      </c>
      <c r="E211" s="2">
        <v>0.54166666666666663</v>
      </c>
      <c r="F211" s="3" t="s">
        <v>56</v>
      </c>
      <c r="G211" s="3" t="s">
        <v>284</v>
      </c>
      <c r="H211" s="3" t="s">
        <v>58</v>
      </c>
      <c r="I211" s="3" t="s">
        <v>30</v>
      </c>
      <c r="J211" s="3" t="s">
        <v>31</v>
      </c>
      <c r="K211" s="3" t="s">
        <v>32</v>
      </c>
      <c r="L211" s="3" t="s">
        <v>33</v>
      </c>
      <c r="M211">
        <v>100</v>
      </c>
      <c r="N211">
        <v>36</v>
      </c>
      <c r="O211">
        <v>60</v>
      </c>
      <c r="P211">
        <v>0</v>
      </c>
      <c r="Q211" s="3" t="s">
        <v>39</v>
      </c>
      <c r="R211">
        <v>103</v>
      </c>
      <c r="S211">
        <v>100</v>
      </c>
      <c r="T211">
        <v>3</v>
      </c>
      <c r="U211" s="3" t="s">
        <v>63</v>
      </c>
      <c r="V211" s="3" t="s">
        <v>64</v>
      </c>
      <c r="W211">
        <v>50</v>
      </c>
      <c r="X211">
        <v>150</v>
      </c>
      <c r="Y211">
        <v>60</v>
      </c>
      <c r="Z211" s="4">
        <v>1</v>
      </c>
      <c r="AA211" s="4">
        <v>1.03</v>
      </c>
      <c r="AB211" s="4">
        <v>0.970873786407767</v>
      </c>
      <c r="AC211" s="4">
        <v>1</v>
      </c>
      <c r="AD211" s="6">
        <v>0</v>
      </c>
      <c r="AE211" s="5">
        <v>5000</v>
      </c>
      <c r="AF211">
        <v>150</v>
      </c>
      <c r="AG211"/>
      <c r="AH211"/>
      <c r="AI211"/>
      <c r="AJ211"/>
    </row>
    <row r="212" spans="1:36" x14ac:dyDescent="0.25">
      <c r="A212">
        <v>211</v>
      </c>
      <c r="B212" s="1">
        <v>46042</v>
      </c>
      <c r="C212" s="1">
        <v>46042</v>
      </c>
      <c r="D212" s="2">
        <v>0.54166666666666663</v>
      </c>
      <c r="E212" s="2">
        <v>0.58333333333333337</v>
      </c>
      <c r="F212" s="3" t="s">
        <v>56</v>
      </c>
      <c r="G212" s="3" t="s">
        <v>285</v>
      </c>
      <c r="H212" s="3" t="s">
        <v>84</v>
      </c>
      <c r="I212" s="3" t="s">
        <v>30</v>
      </c>
      <c r="J212" s="3" t="s">
        <v>31</v>
      </c>
      <c r="K212" s="3" t="s">
        <v>32</v>
      </c>
      <c r="L212" s="3" t="s">
        <v>33</v>
      </c>
      <c r="M212">
        <v>100</v>
      </c>
      <c r="N212">
        <v>36</v>
      </c>
      <c r="O212">
        <v>60</v>
      </c>
      <c r="P212">
        <v>5</v>
      </c>
      <c r="Q212" s="3" t="s">
        <v>92</v>
      </c>
      <c r="R212">
        <v>91</v>
      </c>
      <c r="S212">
        <v>91</v>
      </c>
      <c r="T212">
        <v>0</v>
      </c>
      <c r="U212" s="3" t="s">
        <v>69</v>
      </c>
      <c r="V212" s="3" t="s">
        <v>70</v>
      </c>
      <c r="W212">
        <v>50</v>
      </c>
      <c r="X212">
        <v>0</v>
      </c>
      <c r="Y212">
        <v>55</v>
      </c>
      <c r="Z212" s="4">
        <v>0.91666666666666596</v>
      </c>
      <c r="AA212" s="4">
        <v>0.99272727272727301</v>
      </c>
      <c r="AB212" s="4">
        <v>1</v>
      </c>
      <c r="AC212" s="4">
        <v>0.91</v>
      </c>
      <c r="AD212" s="6">
        <v>416.66669999999999</v>
      </c>
      <c r="AE212" s="5">
        <v>4550</v>
      </c>
      <c r="AF212">
        <v>416.66669999999999</v>
      </c>
      <c r="AG212"/>
      <c r="AH212"/>
      <c r="AI212"/>
      <c r="AJ212"/>
    </row>
    <row r="213" spans="1:36" x14ac:dyDescent="0.25">
      <c r="A213">
        <v>212</v>
      </c>
      <c r="B213" s="1">
        <v>46042</v>
      </c>
      <c r="C213" s="1">
        <v>46042</v>
      </c>
      <c r="D213" s="2">
        <v>0.58333333333333337</v>
      </c>
      <c r="E213" s="2">
        <v>0.625</v>
      </c>
      <c r="F213" s="3" t="s">
        <v>56</v>
      </c>
      <c r="G213" s="3" t="s">
        <v>286</v>
      </c>
      <c r="H213" s="3" t="s">
        <v>58</v>
      </c>
      <c r="I213" s="3" t="s">
        <v>45</v>
      </c>
      <c r="J213" s="3" t="s">
        <v>46</v>
      </c>
      <c r="K213" s="3" t="s">
        <v>47</v>
      </c>
      <c r="L213" s="3" t="s">
        <v>33</v>
      </c>
      <c r="M213">
        <v>120</v>
      </c>
      <c r="N213">
        <v>30</v>
      </c>
      <c r="O213">
        <v>60</v>
      </c>
      <c r="P213">
        <v>0</v>
      </c>
      <c r="Q213" s="3" t="s">
        <v>39</v>
      </c>
      <c r="R213">
        <v>117</v>
      </c>
      <c r="S213">
        <v>112</v>
      </c>
      <c r="T213">
        <v>5</v>
      </c>
      <c r="U213" s="3" t="s">
        <v>72</v>
      </c>
      <c r="V213" s="3" t="s">
        <v>73</v>
      </c>
      <c r="W213">
        <v>80</v>
      </c>
      <c r="X213">
        <v>400</v>
      </c>
      <c r="Y213">
        <v>60</v>
      </c>
      <c r="Z213" s="4">
        <v>1</v>
      </c>
      <c r="AA213" s="4">
        <v>0.97499999999999998</v>
      </c>
      <c r="AB213" s="4">
        <v>0.95726495726495697</v>
      </c>
      <c r="AC213" s="4">
        <v>0.93333333333333302</v>
      </c>
      <c r="AD213" s="6">
        <v>0</v>
      </c>
      <c r="AE213" s="5">
        <v>8960</v>
      </c>
      <c r="AF213">
        <v>400</v>
      </c>
      <c r="AG213"/>
      <c r="AH213"/>
      <c r="AI213"/>
      <c r="AJ213"/>
    </row>
    <row r="214" spans="1:36" x14ac:dyDescent="0.25">
      <c r="A214">
        <v>213</v>
      </c>
      <c r="B214" s="1">
        <v>46042</v>
      </c>
      <c r="C214" s="1">
        <v>46042</v>
      </c>
      <c r="D214" s="2">
        <v>0.625</v>
      </c>
      <c r="E214" s="2">
        <v>0.66666666666666663</v>
      </c>
      <c r="F214" s="3" t="s">
        <v>56</v>
      </c>
      <c r="G214" s="3" t="s">
        <v>287</v>
      </c>
      <c r="H214" s="3" t="s">
        <v>80</v>
      </c>
      <c r="I214" s="3" t="s">
        <v>45</v>
      </c>
      <c r="J214" s="3" t="s">
        <v>46</v>
      </c>
      <c r="K214" s="3" t="s">
        <v>47</v>
      </c>
      <c r="L214" s="3" t="s">
        <v>33</v>
      </c>
      <c r="M214">
        <v>120</v>
      </c>
      <c r="N214">
        <v>30</v>
      </c>
      <c r="O214">
        <v>60</v>
      </c>
      <c r="P214">
        <v>9</v>
      </c>
      <c r="Q214" s="3" t="s">
        <v>95</v>
      </c>
      <c r="R214">
        <v>73</v>
      </c>
      <c r="S214">
        <v>66</v>
      </c>
      <c r="T214">
        <v>7</v>
      </c>
      <c r="U214" s="3" t="s">
        <v>63</v>
      </c>
      <c r="V214" s="3" t="s">
        <v>64</v>
      </c>
      <c r="W214">
        <v>80</v>
      </c>
      <c r="X214">
        <v>560</v>
      </c>
      <c r="Y214">
        <v>51</v>
      </c>
      <c r="Z214" s="4">
        <v>0.85</v>
      </c>
      <c r="AA214" s="4">
        <v>0.71568627450980404</v>
      </c>
      <c r="AB214" s="4">
        <v>0.90410958904109595</v>
      </c>
      <c r="AC214" s="4">
        <v>0.55000000000000004</v>
      </c>
      <c r="AD214" s="6">
        <v>1440</v>
      </c>
      <c r="AE214" s="5">
        <v>5280</v>
      </c>
      <c r="AF214">
        <v>2000</v>
      </c>
      <c r="AG214"/>
      <c r="AH214"/>
      <c r="AI214"/>
      <c r="AJ214"/>
    </row>
    <row r="215" spans="1:36" x14ac:dyDescent="0.25">
      <c r="A215">
        <v>214</v>
      </c>
      <c r="B215" s="1">
        <v>46042</v>
      </c>
      <c r="C215" s="1">
        <v>46042</v>
      </c>
      <c r="D215" s="2">
        <v>0.70833333333333337</v>
      </c>
      <c r="E215" s="2">
        <v>0.75</v>
      </c>
      <c r="F215" s="3" t="s">
        <v>96</v>
      </c>
      <c r="G215" s="3" t="s">
        <v>288</v>
      </c>
      <c r="H215" s="3" t="s">
        <v>38</v>
      </c>
      <c r="I215" s="3" t="s">
        <v>59</v>
      </c>
      <c r="J215" s="3" t="s">
        <v>60</v>
      </c>
      <c r="K215" s="3" t="s">
        <v>61</v>
      </c>
      <c r="L215" s="3" t="s">
        <v>62</v>
      </c>
      <c r="M215">
        <v>80</v>
      </c>
      <c r="N215">
        <v>45</v>
      </c>
      <c r="O215">
        <v>60</v>
      </c>
      <c r="P215">
        <v>0</v>
      </c>
      <c r="Q215" s="3" t="s">
        <v>39</v>
      </c>
      <c r="R215">
        <v>82</v>
      </c>
      <c r="S215">
        <v>82</v>
      </c>
      <c r="T215">
        <v>0</v>
      </c>
      <c r="U215" s="3" t="s">
        <v>99</v>
      </c>
      <c r="V215" s="3" t="s">
        <v>100</v>
      </c>
      <c r="W215">
        <v>120</v>
      </c>
      <c r="X215">
        <v>0</v>
      </c>
      <c r="Y215">
        <v>60</v>
      </c>
      <c r="Z215" s="4">
        <v>1</v>
      </c>
      <c r="AA215" s="4">
        <v>1.0249999999999999</v>
      </c>
      <c r="AB215" s="4">
        <v>1</v>
      </c>
      <c r="AC215" s="4">
        <v>1.0249999999999999</v>
      </c>
      <c r="AD215" s="6">
        <v>0</v>
      </c>
      <c r="AE215" s="5">
        <v>9840</v>
      </c>
      <c r="AF215">
        <v>0</v>
      </c>
      <c r="AG215"/>
      <c r="AH215"/>
      <c r="AI215"/>
      <c r="AJ215"/>
    </row>
    <row r="216" spans="1:36" x14ac:dyDescent="0.25">
      <c r="A216">
        <v>215</v>
      </c>
      <c r="B216" s="1">
        <v>46042</v>
      </c>
      <c r="C216" s="1">
        <v>46042</v>
      </c>
      <c r="D216" s="2">
        <v>0.75</v>
      </c>
      <c r="E216" s="2">
        <v>0.79166666666666663</v>
      </c>
      <c r="F216" s="3" t="s">
        <v>96</v>
      </c>
      <c r="G216" s="3" t="s">
        <v>289</v>
      </c>
      <c r="H216" s="3" t="s">
        <v>91</v>
      </c>
      <c r="I216" s="3" t="s">
        <v>59</v>
      </c>
      <c r="J216" s="3" t="s">
        <v>60</v>
      </c>
      <c r="K216" s="3" t="s">
        <v>61</v>
      </c>
      <c r="L216" s="3" t="s">
        <v>62</v>
      </c>
      <c r="M216">
        <v>80</v>
      </c>
      <c r="N216">
        <v>45</v>
      </c>
      <c r="O216">
        <v>60</v>
      </c>
      <c r="P216">
        <v>23</v>
      </c>
      <c r="Q216" s="3" t="s">
        <v>102</v>
      </c>
      <c r="R216">
        <v>63</v>
      </c>
      <c r="S216">
        <v>56</v>
      </c>
      <c r="T216">
        <v>7</v>
      </c>
      <c r="U216" s="3" t="s">
        <v>99</v>
      </c>
      <c r="V216" s="3" t="s">
        <v>100</v>
      </c>
      <c r="W216">
        <v>120</v>
      </c>
      <c r="X216">
        <v>840</v>
      </c>
      <c r="Y216">
        <v>37</v>
      </c>
      <c r="Z216" s="4">
        <v>0.61666666666666703</v>
      </c>
      <c r="AA216" s="4">
        <v>1.2770270270270301</v>
      </c>
      <c r="AB216" s="4">
        <v>0.88888888888888895</v>
      </c>
      <c r="AC216" s="4">
        <v>0.70000000000000195</v>
      </c>
      <c r="AD216" s="6">
        <v>3680</v>
      </c>
      <c r="AE216" s="5">
        <v>6720</v>
      </c>
      <c r="AF216">
        <v>4520</v>
      </c>
      <c r="AG216"/>
      <c r="AH216"/>
      <c r="AI216"/>
      <c r="AJ216"/>
    </row>
    <row r="217" spans="1:36" x14ac:dyDescent="0.25">
      <c r="A217">
        <v>216</v>
      </c>
      <c r="B217" s="1">
        <v>46043</v>
      </c>
      <c r="C217" s="1">
        <v>46043</v>
      </c>
      <c r="D217" s="2">
        <v>0.29166666666666669</v>
      </c>
      <c r="E217" s="2">
        <v>0.33333333333333331</v>
      </c>
      <c r="F217" s="3" t="s">
        <v>27</v>
      </c>
      <c r="G217" s="3" t="s">
        <v>290</v>
      </c>
      <c r="H217" s="3" t="s">
        <v>98</v>
      </c>
      <c r="I217" s="3" t="s">
        <v>30</v>
      </c>
      <c r="J217" s="3" t="s">
        <v>31</v>
      </c>
      <c r="K217" s="3" t="s">
        <v>32</v>
      </c>
      <c r="L217" s="3" t="s">
        <v>33</v>
      </c>
      <c r="M217">
        <v>100</v>
      </c>
      <c r="N217">
        <v>36</v>
      </c>
      <c r="O217">
        <v>60</v>
      </c>
      <c r="P217">
        <v>6</v>
      </c>
      <c r="Q217" s="3" t="s">
        <v>104</v>
      </c>
      <c r="R217">
        <v>96</v>
      </c>
      <c r="S217">
        <v>94</v>
      </c>
      <c r="T217">
        <v>2</v>
      </c>
      <c r="U217" s="3" t="s">
        <v>35</v>
      </c>
      <c r="V217" s="3" t="s">
        <v>36</v>
      </c>
      <c r="W217">
        <v>50</v>
      </c>
      <c r="X217">
        <v>100</v>
      </c>
      <c r="Y217">
        <v>54</v>
      </c>
      <c r="Z217" s="4">
        <v>0.9</v>
      </c>
      <c r="AA217" s="4">
        <v>1.06666666666667</v>
      </c>
      <c r="AB217" s="4">
        <v>0.97916666666666596</v>
      </c>
      <c r="AC217" s="4">
        <v>0.94000000000000195</v>
      </c>
      <c r="AD217" s="6">
        <v>500</v>
      </c>
      <c r="AE217" s="5">
        <v>4700</v>
      </c>
      <c r="AF217">
        <v>600</v>
      </c>
      <c r="AG217"/>
      <c r="AH217"/>
      <c r="AI217"/>
      <c r="AJ217"/>
    </row>
    <row r="218" spans="1:36" x14ac:dyDescent="0.25">
      <c r="A218">
        <v>217</v>
      </c>
      <c r="B218" s="1">
        <v>46043</v>
      </c>
      <c r="C218" s="1">
        <v>46043</v>
      </c>
      <c r="D218" s="2">
        <v>0.33333333333333331</v>
      </c>
      <c r="E218" s="2">
        <v>0.375</v>
      </c>
      <c r="F218" s="3" t="s">
        <v>27</v>
      </c>
      <c r="G218" s="3" t="s">
        <v>291</v>
      </c>
      <c r="H218" s="3" t="s">
        <v>67</v>
      </c>
      <c r="I218" s="3" t="s">
        <v>30</v>
      </c>
      <c r="J218" s="3" t="s">
        <v>31</v>
      </c>
      <c r="K218" s="3" t="s">
        <v>32</v>
      </c>
      <c r="L218" s="3" t="s">
        <v>33</v>
      </c>
      <c r="M218">
        <v>100</v>
      </c>
      <c r="N218">
        <v>36</v>
      </c>
      <c r="O218">
        <v>60</v>
      </c>
      <c r="P218">
        <v>0</v>
      </c>
      <c r="Q218" s="3" t="s">
        <v>39</v>
      </c>
      <c r="R218">
        <v>91</v>
      </c>
      <c r="S218">
        <v>91</v>
      </c>
      <c r="T218">
        <v>0</v>
      </c>
      <c r="U218" s="3" t="s">
        <v>35</v>
      </c>
      <c r="V218" s="3" t="s">
        <v>36</v>
      </c>
      <c r="W218">
        <v>50</v>
      </c>
      <c r="X218">
        <v>0</v>
      </c>
      <c r="Y218">
        <v>60</v>
      </c>
      <c r="Z218" s="4">
        <v>1</v>
      </c>
      <c r="AA218" s="4">
        <v>0.91</v>
      </c>
      <c r="AB218" s="4">
        <v>1</v>
      </c>
      <c r="AC218" s="4">
        <v>0.91</v>
      </c>
      <c r="AD218" s="6">
        <v>0</v>
      </c>
      <c r="AE218" s="5">
        <v>4550</v>
      </c>
      <c r="AF218">
        <v>0</v>
      </c>
      <c r="AG218"/>
      <c r="AH218"/>
      <c r="AI218"/>
      <c r="AJ218"/>
    </row>
    <row r="219" spans="1:36" x14ac:dyDescent="0.25">
      <c r="A219">
        <v>218</v>
      </c>
      <c r="B219" s="1">
        <v>46043</v>
      </c>
      <c r="C219" s="1">
        <v>46043</v>
      </c>
      <c r="D219" s="2">
        <v>0.375</v>
      </c>
      <c r="E219" s="2">
        <v>0.41666666666666669</v>
      </c>
      <c r="F219" s="3" t="s">
        <v>27</v>
      </c>
      <c r="G219" s="3" t="s">
        <v>292</v>
      </c>
      <c r="H219" s="3" t="s">
        <v>38</v>
      </c>
      <c r="I219" s="3" t="s">
        <v>30</v>
      </c>
      <c r="J219" s="3" t="s">
        <v>31</v>
      </c>
      <c r="K219" s="3" t="s">
        <v>32</v>
      </c>
      <c r="L219" s="3" t="s">
        <v>33</v>
      </c>
      <c r="M219">
        <v>100</v>
      </c>
      <c r="N219">
        <v>36</v>
      </c>
      <c r="O219">
        <v>60</v>
      </c>
      <c r="P219">
        <v>9</v>
      </c>
      <c r="Q219" s="3" t="s">
        <v>34</v>
      </c>
      <c r="R219">
        <v>81</v>
      </c>
      <c r="S219">
        <v>78</v>
      </c>
      <c r="T219">
        <v>3</v>
      </c>
      <c r="U219" s="3" t="s">
        <v>35</v>
      </c>
      <c r="V219" s="3" t="s">
        <v>36</v>
      </c>
      <c r="W219">
        <v>50</v>
      </c>
      <c r="X219">
        <v>150</v>
      </c>
      <c r="Y219">
        <v>51</v>
      </c>
      <c r="Z219" s="4">
        <v>0.85</v>
      </c>
      <c r="AA219" s="4">
        <v>0.95294117647058796</v>
      </c>
      <c r="AB219" s="4">
        <v>0.96296296296296302</v>
      </c>
      <c r="AC219" s="4">
        <v>0.78</v>
      </c>
      <c r="AD219" s="6">
        <v>750</v>
      </c>
      <c r="AE219" s="5">
        <v>3900</v>
      </c>
      <c r="AF219">
        <v>900</v>
      </c>
      <c r="AG219"/>
      <c r="AH219"/>
      <c r="AI219"/>
      <c r="AJ219"/>
    </row>
    <row r="220" spans="1:36" x14ac:dyDescent="0.25">
      <c r="A220">
        <v>219</v>
      </c>
      <c r="B220" s="1">
        <v>46043</v>
      </c>
      <c r="C220" s="1">
        <v>46043</v>
      </c>
      <c r="D220" s="2">
        <v>0.41666666666666669</v>
      </c>
      <c r="E220" s="2">
        <v>0.45833333333333331</v>
      </c>
      <c r="F220" s="3" t="s">
        <v>27</v>
      </c>
      <c r="G220" s="3" t="s">
        <v>293</v>
      </c>
      <c r="H220" s="3" t="s">
        <v>98</v>
      </c>
      <c r="I220" s="3" t="s">
        <v>30</v>
      </c>
      <c r="J220" s="3" t="s">
        <v>31</v>
      </c>
      <c r="K220" s="3" t="s">
        <v>32</v>
      </c>
      <c r="L220" s="3" t="s">
        <v>33</v>
      </c>
      <c r="M220">
        <v>100</v>
      </c>
      <c r="N220">
        <v>36</v>
      </c>
      <c r="O220">
        <v>60</v>
      </c>
      <c r="P220">
        <v>11</v>
      </c>
      <c r="Q220" s="3" t="s">
        <v>41</v>
      </c>
      <c r="R220">
        <v>83</v>
      </c>
      <c r="S220">
        <v>77</v>
      </c>
      <c r="T220">
        <v>6</v>
      </c>
      <c r="U220" s="3" t="s">
        <v>42</v>
      </c>
      <c r="V220" s="3" t="s">
        <v>43</v>
      </c>
      <c r="W220">
        <v>50</v>
      </c>
      <c r="X220">
        <v>300</v>
      </c>
      <c r="Y220">
        <v>49</v>
      </c>
      <c r="Z220" s="4">
        <v>0.81666666666666698</v>
      </c>
      <c r="AA220" s="4">
        <v>1.01632653061224</v>
      </c>
      <c r="AB220" s="4">
        <v>0.92771084337349397</v>
      </c>
      <c r="AC220" s="4">
        <v>0.76999999999999602</v>
      </c>
      <c r="AD220" s="6">
        <v>916.66669999999999</v>
      </c>
      <c r="AE220" s="5">
        <v>3850</v>
      </c>
      <c r="AF220">
        <v>1216.6667</v>
      </c>
      <c r="AG220"/>
      <c r="AH220"/>
      <c r="AI220"/>
      <c r="AJ220"/>
    </row>
    <row r="221" spans="1:36" x14ac:dyDescent="0.25">
      <c r="A221">
        <v>220</v>
      </c>
      <c r="B221" s="1">
        <v>46043</v>
      </c>
      <c r="C221" s="1">
        <v>46043</v>
      </c>
      <c r="D221" s="2">
        <v>0.45833333333333331</v>
      </c>
      <c r="E221" s="2">
        <v>0.5</v>
      </c>
      <c r="F221" s="3" t="s">
        <v>27</v>
      </c>
      <c r="G221" s="3" t="s">
        <v>294</v>
      </c>
      <c r="H221" s="3" t="s">
        <v>80</v>
      </c>
      <c r="I221" s="3" t="s">
        <v>45</v>
      </c>
      <c r="J221" s="3" t="s">
        <v>46</v>
      </c>
      <c r="K221" s="3" t="s">
        <v>47</v>
      </c>
      <c r="L221" s="3" t="s">
        <v>33</v>
      </c>
      <c r="M221">
        <v>120</v>
      </c>
      <c r="N221">
        <v>30</v>
      </c>
      <c r="O221">
        <v>60</v>
      </c>
      <c r="P221">
        <v>1</v>
      </c>
      <c r="Q221" s="3" t="s">
        <v>48</v>
      </c>
      <c r="R221">
        <v>113</v>
      </c>
      <c r="S221">
        <v>107</v>
      </c>
      <c r="T221">
        <v>6</v>
      </c>
      <c r="U221" s="3" t="s">
        <v>49</v>
      </c>
      <c r="V221" s="3" t="s">
        <v>50</v>
      </c>
      <c r="W221">
        <v>80</v>
      </c>
      <c r="X221">
        <v>480</v>
      </c>
      <c r="Y221">
        <v>59</v>
      </c>
      <c r="Z221" s="4">
        <v>0.98333333333333295</v>
      </c>
      <c r="AA221" s="4">
        <v>0.95762711864406802</v>
      </c>
      <c r="AB221" s="4">
        <v>0.946902654867257</v>
      </c>
      <c r="AC221" s="4">
        <v>0.89166666666666705</v>
      </c>
      <c r="AD221" s="6">
        <v>160</v>
      </c>
      <c r="AE221" s="5">
        <v>8560</v>
      </c>
      <c r="AF221">
        <v>640</v>
      </c>
      <c r="AG221"/>
      <c r="AH221"/>
      <c r="AI221"/>
      <c r="AJ221"/>
    </row>
    <row r="222" spans="1:36" x14ac:dyDescent="0.25">
      <c r="A222">
        <v>221</v>
      </c>
      <c r="B222" s="1">
        <v>46043</v>
      </c>
      <c r="C222" s="1">
        <v>46043</v>
      </c>
      <c r="D222" s="2">
        <v>0.5</v>
      </c>
      <c r="E222" s="2">
        <v>0.54166666666666663</v>
      </c>
      <c r="F222" s="3" t="s">
        <v>56</v>
      </c>
      <c r="G222" s="3" t="s">
        <v>295</v>
      </c>
      <c r="H222" s="3" t="s">
        <v>80</v>
      </c>
      <c r="I222" s="3" t="s">
        <v>59</v>
      </c>
      <c r="J222" s="3" t="s">
        <v>60</v>
      </c>
      <c r="K222" s="3" t="s">
        <v>61</v>
      </c>
      <c r="L222" s="3" t="s">
        <v>62</v>
      </c>
      <c r="M222">
        <v>80</v>
      </c>
      <c r="N222">
        <v>45</v>
      </c>
      <c r="O222">
        <v>60</v>
      </c>
      <c r="P222">
        <v>8</v>
      </c>
      <c r="Q222" s="3" t="s">
        <v>34</v>
      </c>
      <c r="R222">
        <v>80</v>
      </c>
      <c r="S222">
        <v>80</v>
      </c>
      <c r="T222">
        <v>0</v>
      </c>
      <c r="U222" s="3" t="s">
        <v>63</v>
      </c>
      <c r="V222" s="3" t="s">
        <v>64</v>
      </c>
      <c r="W222">
        <v>120</v>
      </c>
      <c r="X222">
        <v>0</v>
      </c>
      <c r="Y222">
        <v>52</v>
      </c>
      <c r="Z222" s="4">
        <v>0.86666666666666703</v>
      </c>
      <c r="AA222" s="4">
        <v>1.15384615384615</v>
      </c>
      <c r="AB222" s="4">
        <v>1</v>
      </c>
      <c r="AC222" s="4">
        <v>0.999999999999997</v>
      </c>
      <c r="AD222" s="6">
        <v>1280</v>
      </c>
      <c r="AE222" s="5">
        <v>9600</v>
      </c>
      <c r="AF222">
        <v>1280</v>
      </c>
      <c r="AG222"/>
      <c r="AH222"/>
      <c r="AI222"/>
      <c r="AJ222"/>
    </row>
    <row r="223" spans="1:36" x14ac:dyDescent="0.25">
      <c r="A223">
        <v>222</v>
      </c>
      <c r="B223" s="1">
        <v>46043</v>
      </c>
      <c r="C223" s="1">
        <v>46043</v>
      </c>
      <c r="D223" s="2">
        <v>0.54166666666666663</v>
      </c>
      <c r="E223" s="2">
        <v>0.58333333333333337</v>
      </c>
      <c r="F223" s="3" t="s">
        <v>56</v>
      </c>
      <c r="G223" s="3" t="s">
        <v>296</v>
      </c>
      <c r="H223" s="3" t="s">
        <v>38</v>
      </c>
      <c r="I223" s="3" t="s">
        <v>59</v>
      </c>
      <c r="J223" s="3" t="s">
        <v>60</v>
      </c>
      <c r="K223" s="3" t="s">
        <v>61</v>
      </c>
      <c r="L223" s="3" t="s">
        <v>62</v>
      </c>
      <c r="M223">
        <v>80</v>
      </c>
      <c r="N223">
        <v>45</v>
      </c>
      <c r="O223">
        <v>60</v>
      </c>
      <c r="P223">
        <v>26</v>
      </c>
      <c r="Q223" s="3" t="s">
        <v>68</v>
      </c>
      <c r="R223">
        <v>49</v>
      </c>
      <c r="S223">
        <v>0</v>
      </c>
      <c r="T223">
        <v>49</v>
      </c>
      <c r="U223" s="3" t="s">
        <v>69</v>
      </c>
      <c r="V223" s="3" t="s">
        <v>70</v>
      </c>
      <c r="W223">
        <v>120</v>
      </c>
      <c r="X223">
        <v>5880</v>
      </c>
      <c r="Y223">
        <v>34</v>
      </c>
      <c r="Z223" s="4">
        <v>0.56666666666666698</v>
      </c>
      <c r="AA223" s="4">
        <v>1.08088235294118</v>
      </c>
      <c r="AB223" s="4">
        <v>0</v>
      </c>
      <c r="AC223" s="4">
        <v>0</v>
      </c>
      <c r="AD223" s="6">
        <v>4160</v>
      </c>
      <c r="AE223" s="5">
        <v>0</v>
      </c>
      <c r="AF223">
        <v>10040</v>
      </c>
      <c r="AG223"/>
      <c r="AH223"/>
      <c r="AI223"/>
      <c r="AJ223"/>
    </row>
    <row r="224" spans="1:36" x14ac:dyDescent="0.25">
      <c r="A224">
        <v>223</v>
      </c>
      <c r="B224" s="1">
        <v>46043</v>
      </c>
      <c r="C224" s="1">
        <v>46043</v>
      </c>
      <c r="D224" s="2">
        <v>0.58333333333333337</v>
      </c>
      <c r="E224" s="2">
        <v>0.625</v>
      </c>
      <c r="F224" s="3" t="s">
        <v>56</v>
      </c>
      <c r="G224" s="3" t="s">
        <v>297</v>
      </c>
      <c r="H224" s="3" t="s">
        <v>67</v>
      </c>
      <c r="I224" s="3" t="s">
        <v>30</v>
      </c>
      <c r="J224" s="3" t="s">
        <v>31</v>
      </c>
      <c r="K224" s="3" t="s">
        <v>32</v>
      </c>
      <c r="L224" s="3" t="s">
        <v>33</v>
      </c>
      <c r="M224">
        <v>100</v>
      </c>
      <c r="N224">
        <v>36</v>
      </c>
      <c r="O224">
        <v>60</v>
      </c>
      <c r="P224">
        <v>6</v>
      </c>
      <c r="Q224" s="3" t="s">
        <v>34</v>
      </c>
      <c r="R224">
        <v>100</v>
      </c>
      <c r="S224">
        <v>98</v>
      </c>
      <c r="T224">
        <v>2</v>
      </c>
      <c r="U224" s="3" t="s">
        <v>72</v>
      </c>
      <c r="V224" s="3" t="s">
        <v>73</v>
      </c>
      <c r="W224">
        <v>50</v>
      </c>
      <c r="X224">
        <v>100</v>
      </c>
      <c r="Y224">
        <v>54</v>
      </c>
      <c r="Z224" s="4">
        <v>0.9</v>
      </c>
      <c r="AA224" s="4">
        <v>1.1111111111111101</v>
      </c>
      <c r="AB224" s="4">
        <v>0.98</v>
      </c>
      <c r="AC224" s="4">
        <v>0.97999999999999898</v>
      </c>
      <c r="AD224" s="6">
        <v>500</v>
      </c>
      <c r="AE224" s="5">
        <v>4900</v>
      </c>
      <c r="AF224">
        <v>600</v>
      </c>
      <c r="AG224"/>
      <c r="AH224"/>
      <c r="AI224"/>
      <c r="AJ224"/>
    </row>
    <row r="225" spans="1:36" x14ac:dyDescent="0.25">
      <c r="A225">
        <v>224</v>
      </c>
      <c r="B225" s="1">
        <v>46043</v>
      </c>
      <c r="C225" s="1">
        <v>46043</v>
      </c>
      <c r="D225" s="2">
        <v>0.625</v>
      </c>
      <c r="E225" s="2">
        <v>0.66666666666666663</v>
      </c>
      <c r="F225" s="3" t="s">
        <v>56</v>
      </c>
      <c r="G225" s="3" t="s">
        <v>298</v>
      </c>
      <c r="H225" s="3" t="s">
        <v>29</v>
      </c>
      <c r="I225" s="3" t="s">
        <v>30</v>
      </c>
      <c r="J225" s="3" t="s">
        <v>31</v>
      </c>
      <c r="K225" s="3" t="s">
        <v>32</v>
      </c>
      <c r="L225" s="3" t="s">
        <v>33</v>
      </c>
      <c r="M225">
        <v>100</v>
      </c>
      <c r="N225">
        <v>36</v>
      </c>
      <c r="O225">
        <v>60</v>
      </c>
      <c r="P225">
        <v>3</v>
      </c>
      <c r="Q225" s="3" t="s">
        <v>78</v>
      </c>
      <c r="R225">
        <v>99</v>
      </c>
      <c r="S225">
        <v>99</v>
      </c>
      <c r="T225">
        <v>0</v>
      </c>
      <c r="U225" s="3" t="s">
        <v>75</v>
      </c>
      <c r="V225" s="3" t="s">
        <v>76</v>
      </c>
      <c r="W225">
        <v>50</v>
      </c>
      <c r="X225">
        <v>0</v>
      </c>
      <c r="Y225">
        <v>57</v>
      </c>
      <c r="Z225" s="4">
        <v>0.95</v>
      </c>
      <c r="AA225" s="4">
        <v>1.04210526315789</v>
      </c>
      <c r="AB225" s="4">
        <v>1</v>
      </c>
      <c r="AC225" s="4">
        <v>0.98999999999999599</v>
      </c>
      <c r="AD225" s="6">
        <v>250</v>
      </c>
      <c r="AE225" s="5">
        <v>4950</v>
      </c>
      <c r="AF225">
        <v>250</v>
      </c>
      <c r="AG225"/>
      <c r="AH225"/>
      <c r="AI225"/>
      <c r="AJ225"/>
    </row>
    <row r="226" spans="1:36" x14ac:dyDescent="0.25">
      <c r="A226">
        <v>225</v>
      </c>
      <c r="B226" s="1">
        <v>46044</v>
      </c>
      <c r="C226" s="1">
        <v>46044</v>
      </c>
      <c r="D226" s="2">
        <v>0.29166666666666669</v>
      </c>
      <c r="E226" s="2">
        <v>0.33333333333333331</v>
      </c>
      <c r="F226" s="3" t="s">
        <v>27</v>
      </c>
      <c r="G226" s="3" t="s">
        <v>299</v>
      </c>
      <c r="H226" s="3" t="s">
        <v>84</v>
      </c>
      <c r="I226" s="3" t="s">
        <v>30</v>
      </c>
      <c r="J226" s="3" t="s">
        <v>31</v>
      </c>
      <c r="K226" s="3" t="s">
        <v>32</v>
      </c>
      <c r="L226" s="3" t="s">
        <v>33</v>
      </c>
      <c r="M226">
        <v>100</v>
      </c>
      <c r="N226">
        <v>36</v>
      </c>
      <c r="O226">
        <v>60</v>
      </c>
      <c r="P226">
        <v>8</v>
      </c>
      <c r="Q226" s="3" t="s">
        <v>34</v>
      </c>
      <c r="R226">
        <v>86</v>
      </c>
      <c r="S226">
        <v>84</v>
      </c>
      <c r="T226">
        <v>2</v>
      </c>
      <c r="U226" s="3" t="s">
        <v>35</v>
      </c>
      <c r="V226" s="3" t="s">
        <v>36</v>
      </c>
      <c r="W226">
        <v>50</v>
      </c>
      <c r="X226">
        <v>100</v>
      </c>
      <c r="Y226">
        <v>52</v>
      </c>
      <c r="Z226" s="4">
        <v>0.86666666666666703</v>
      </c>
      <c r="AA226" s="4">
        <v>0.992307692307692</v>
      </c>
      <c r="AB226" s="4">
        <v>0.97674418604651203</v>
      </c>
      <c r="AC226" s="4">
        <v>0.84</v>
      </c>
      <c r="AD226" s="6">
        <v>666.66669999999999</v>
      </c>
      <c r="AE226" s="5">
        <v>4200</v>
      </c>
      <c r="AF226">
        <v>766.66669999999999</v>
      </c>
      <c r="AG226"/>
      <c r="AH226"/>
      <c r="AI226"/>
      <c r="AJ226"/>
    </row>
    <row r="227" spans="1:36" x14ac:dyDescent="0.25">
      <c r="A227">
        <v>226</v>
      </c>
      <c r="B227" s="1">
        <v>46044</v>
      </c>
      <c r="C227" s="1">
        <v>46044</v>
      </c>
      <c r="D227" s="2">
        <v>0.33333333333333331</v>
      </c>
      <c r="E227" s="2">
        <v>0.375</v>
      </c>
      <c r="F227" s="3" t="s">
        <v>27</v>
      </c>
      <c r="G227" s="3" t="s">
        <v>300</v>
      </c>
      <c r="H227" s="3" t="s">
        <v>67</v>
      </c>
      <c r="I227" s="3" t="s">
        <v>30</v>
      </c>
      <c r="J227" s="3" t="s">
        <v>31</v>
      </c>
      <c r="K227" s="3" t="s">
        <v>32</v>
      </c>
      <c r="L227" s="3" t="s">
        <v>33</v>
      </c>
      <c r="M227">
        <v>100</v>
      </c>
      <c r="N227">
        <v>36</v>
      </c>
      <c r="O227">
        <v>60</v>
      </c>
      <c r="P227">
        <v>0</v>
      </c>
      <c r="Q227" s="3" t="s">
        <v>39</v>
      </c>
      <c r="R227">
        <v>96</v>
      </c>
      <c r="S227">
        <v>95</v>
      </c>
      <c r="T227">
        <v>1</v>
      </c>
      <c r="U227" s="3" t="s">
        <v>35</v>
      </c>
      <c r="V227" s="3" t="s">
        <v>36</v>
      </c>
      <c r="W227">
        <v>50</v>
      </c>
      <c r="X227">
        <v>50</v>
      </c>
      <c r="Y227">
        <v>60</v>
      </c>
      <c r="Z227" s="4">
        <v>1</v>
      </c>
      <c r="AA227" s="4">
        <v>0.96</v>
      </c>
      <c r="AB227" s="4">
        <v>0.98958333333333404</v>
      </c>
      <c r="AC227" s="4">
        <v>0.95000000000000095</v>
      </c>
      <c r="AD227" s="6">
        <v>0</v>
      </c>
      <c r="AE227" s="5">
        <v>4750</v>
      </c>
      <c r="AF227">
        <v>50</v>
      </c>
      <c r="AG227"/>
      <c r="AH227"/>
      <c r="AI227"/>
      <c r="AJ227"/>
    </row>
    <row r="228" spans="1:36" x14ac:dyDescent="0.25">
      <c r="A228">
        <v>227</v>
      </c>
      <c r="B228" s="1">
        <v>46044</v>
      </c>
      <c r="C228" s="1">
        <v>46044</v>
      </c>
      <c r="D228" s="2">
        <v>0.375</v>
      </c>
      <c r="E228" s="2">
        <v>0.41666666666666669</v>
      </c>
      <c r="F228" s="3" t="s">
        <v>27</v>
      </c>
      <c r="G228" s="3" t="s">
        <v>301</v>
      </c>
      <c r="H228" s="3" t="s">
        <v>58</v>
      </c>
      <c r="I228" s="3" t="s">
        <v>30</v>
      </c>
      <c r="J228" s="3" t="s">
        <v>31</v>
      </c>
      <c r="K228" s="3" t="s">
        <v>32</v>
      </c>
      <c r="L228" s="3" t="s">
        <v>33</v>
      </c>
      <c r="M228">
        <v>100</v>
      </c>
      <c r="N228">
        <v>36</v>
      </c>
      <c r="O228">
        <v>60</v>
      </c>
      <c r="P228">
        <v>16</v>
      </c>
      <c r="Q228" s="3" t="s">
        <v>41</v>
      </c>
      <c r="R228">
        <v>68</v>
      </c>
      <c r="S228">
        <v>61</v>
      </c>
      <c r="T228">
        <v>7</v>
      </c>
      <c r="U228" s="3" t="s">
        <v>42</v>
      </c>
      <c r="V228" s="3" t="s">
        <v>43</v>
      </c>
      <c r="W228">
        <v>50</v>
      </c>
      <c r="X228">
        <v>350</v>
      </c>
      <c r="Y228">
        <v>44</v>
      </c>
      <c r="Z228" s="4">
        <v>0.73333333333333295</v>
      </c>
      <c r="AA228" s="4">
        <v>0.92727272727272703</v>
      </c>
      <c r="AB228" s="4">
        <v>0.89705882352941202</v>
      </c>
      <c r="AC228" s="4">
        <v>0.61</v>
      </c>
      <c r="AD228" s="6">
        <v>1333.3333</v>
      </c>
      <c r="AE228" s="5">
        <v>3050</v>
      </c>
      <c r="AF228">
        <v>1683.3333</v>
      </c>
      <c r="AG228"/>
      <c r="AH228"/>
      <c r="AI228"/>
      <c r="AJ228"/>
    </row>
    <row r="229" spans="1:36" x14ac:dyDescent="0.25">
      <c r="A229">
        <v>228</v>
      </c>
      <c r="B229" s="1">
        <v>46044</v>
      </c>
      <c r="C229" s="1">
        <v>46044</v>
      </c>
      <c r="D229" s="2">
        <v>0.41666666666666669</v>
      </c>
      <c r="E229" s="2">
        <v>0.45833333333333331</v>
      </c>
      <c r="F229" s="3" t="s">
        <v>27</v>
      </c>
      <c r="G229" s="3" t="s">
        <v>302</v>
      </c>
      <c r="H229" s="3" t="s">
        <v>80</v>
      </c>
      <c r="I229" s="3" t="s">
        <v>45</v>
      </c>
      <c r="J229" s="3" t="s">
        <v>46</v>
      </c>
      <c r="K229" s="3" t="s">
        <v>47</v>
      </c>
      <c r="L229" s="3" t="s">
        <v>33</v>
      </c>
      <c r="M229">
        <v>120</v>
      </c>
      <c r="N229">
        <v>30</v>
      </c>
      <c r="O229">
        <v>60</v>
      </c>
      <c r="P229">
        <v>1</v>
      </c>
      <c r="Q229" s="3" t="s">
        <v>48</v>
      </c>
      <c r="R229">
        <v>102</v>
      </c>
      <c r="S229">
        <v>98</v>
      </c>
      <c r="T229">
        <v>4</v>
      </c>
      <c r="U229" s="3" t="s">
        <v>49</v>
      </c>
      <c r="V229" s="3" t="s">
        <v>50</v>
      </c>
      <c r="W229">
        <v>80</v>
      </c>
      <c r="X229">
        <v>320</v>
      </c>
      <c r="Y229">
        <v>59</v>
      </c>
      <c r="Z229" s="4">
        <v>0.98333333333333295</v>
      </c>
      <c r="AA229" s="4">
        <v>0.86440677966101698</v>
      </c>
      <c r="AB229" s="4">
        <v>0.96078431372549</v>
      </c>
      <c r="AC229" s="4">
        <v>0.81666666666666599</v>
      </c>
      <c r="AD229" s="6">
        <v>160</v>
      </c>
      <c r="AE229" s="5">
        <v>7840</v>
      </c>
      <c r="AF229">
        <v>480</v>
      </c>
      <c r="AG229"/>
      <c r="AH229"/>
      <c r="AI229"/>
      <c r="AJ229"/>
    </row>
    <row r="230" spans="1:36" x14ac:dyDescent="0.25">
      <c r="A230">
        <v>229</v>
      </c>
      <c r="B230" s="1">
        <v>46044</v>
      </c>
      <c r="C230" s="1">
        <v>46044</v>
      </c>
      <c r="D230" s="2">
        <v>0.45833333333333331</v>
      </c>
      <c r="E230" s="2">
        <v>0.5</v>
      </c>
      <c r="F230" s="3" t="s">
        <v>27</v>
      </c>
      <c r="G230" s="3" t="s">
        <v>303</v>
      </c>
      <c r="H230" s="3" t="s">
        <v>80</v>
      </c>
      <c r="I230" s="3" t="s">
        <v>45</v>
      </c>
      <c r="J230" s="3" t="s">
        <v>46</v>
      </c>
      <c r="K230" s="3" t="s">
        <v>47</v>
      </c>
      <c r="L230" s="3" t="s">
        <v>33</v>
      </c>
      <c r="M230">
        <v>120</v>
      </c>
      <c r="N230">
        <v>30</v>
      </c>
      <c r="O230">
        <v>60</v>
      </c>
      <c r="P230">
        <v>0</v>
      </c>
      <c r="Q230" s="3" t="s">
        <v>39</v>
      </c>
      <c r="R230">
        <v>125</v>
      </c>
      <c r="S230">
        <v>125</v>
      </c>
      <c r="T230">
        <v>0</v>
      </c>
      <c r="U230" s="3" t="s">
        <v>49</v>
      </c>
      <c r="V230" s="3" t="s">
        <v>50</v>
      </c>
      <c r="W230">
        <v>80</v>
      </c>
      <c r="X230">
        <v>0</v>
      </c>
      <c r="Y230">
        <v>60</v>
      </c>
      <c r="Z230" s="4">
        <v>1</v>
      </c>
      <c r="AA230" s="4">
        <v>1.0416666666666701</v>
      </c>
      <c r="AB230" s="4">
        <v>1</v>
      </c>
      <c r="AC230" s="4">
        <v>1.0416666666666701</v>
      </c>
      <c r="AD230" s="6">
        <v>0</v>
      </c>
      <c r="AE230" s="5">
        <v>10000</v>
      </c>
      <c r="AF230">
        <v>0</v>
      </c>
      <c r="AG230"/>
      <c r="AH230"/>
      <c r="AI230"/>
      <c r="AJ230"/>
    </row>
    <row r="231" spans="1:36" x14ac:dyDescent="0.25">
      <c r="A231">
        <v>230</v>
      </c>
      <c r="B231" s="1">
        <v>46044</v>
      </c>
      <c r="C231" s="1">
        <v>46044</v>
      </c>
      <c r="D231" s="2">
        <v>0.5</v>
      </c>
      <c r="E231" s="2">
        <v>0.54166666666666663</v>
      </c>
      <c r="F231" s="3" t="s">
        <v>27</v>
      </c>
      <c r="G231" s="3" t="s">
        <v>304</v>
      </c>
      <c r="H231" s="3" t="s">
        <v>29</v>
      </c>
      <c r="I231" s="3" t="s">
        <v>45</v>
      </c>
      <c r="J231" s="3" t="s">
        <v>46</v>
      </c>
      <c r="K231" s="3" t="s">
        <v>47</v>
      </c>
      <c r="L231" s="3" t="s">
        <v>33</v>
      </c>
      <c r="M231">
        <v>120</v>
      </c>
      <c r="N231">
        <v>30</v>
      </c>
      <c r="O231">
        <v>60</v>
      </c>
      <c r="P231">
        <v>8</v>
      </c>
      <c r="Q231" s="3" t="s">
        <v>53</v>
      </c>
      <c r="R231">
        <v>103</v>
      </c>
      <c r="S231">
        <v>97</v>
      </c>
      <c r="T231">
        <v>6</v>
      </c>
      <c r="U231" s="3" t="s">
        <v>54</v>
      </c>
      <c r="V231" s="3" t="s">
        <v>55</v>
      </c>
      <c r="W231">
        <v>80</v>
      </c>
      <c r="X231">
        <v>480</v>
      </c>
      <c r="Y231">
        <v>52</v>
      </c>
      <c r="Z231" s="4">
        <v>0.86666666666666703</v>
      </c>
      <c r="AA231" s="4">
        <v>0.99038461538461597</v>
      </c>
      <c r="AB231" s="4">
        <v>0.94174757281553401</v>
      </c>
      <c r="AC231" s="4">
        <v>0.80833333333333401</v>
      </c>
      <c r="AD231" s="6">
        <v>1280</v>
      </c>
      <c r="AE231" s="5">
        <v>7760</v>
      </c>
      <c r="AF231">
        <v>1760</v>
      </c>
      <c r="AG231"/>
      <c r="AH231"/>
      <c r="AI231"/>
      <c r="AJ231"/>
    </row>
    <row r="232" spans="1:36" x14ac:dyDescent="0.25">
      <c r="A232">
        <v>231</v>
      </c>
      <c r="B232" s="1">
        <v>46044</v>
      </c>
      <c r="C232" s="1">
        <v>46044</v>
      </c>
      <c r="D232" s="2">
        <v>0.54166666666666663</v>
      </c>
      <c r="E232" s="2">
        <v>0.58333333333333337</v>
      </c>
      <c r="F232" s="3" t="s">
        <v>56</v>
      </c>
      <c r="G232" s="3" t="s">
        <v>305</v>
      </c>
      <c r="H232" s="3" t="s">
        <v>91</v>
      </c>
      <c r="I232" s="3" t="s">
        <v>59</v>
      </c>
      <c r="J232" s="3" t="s">
        <v>60</v>
      </c>
      <c r="K232" s="3" t="s">
        <v>61</v>
      </c>
      <c r="L232" s="3" t="s">
        <v>62</v>
      </c>
      <c r="M232">
        <v>80</v>
      </c>
      <c r="N232">
        <v>45</v>
      </c>
      <c r="O232">
        <v>60</v>
      </c>
      <c r="P232">
        <v>10</v>
      </c>
      <c r="Q232" s="3" t="s">
        <v>34</v>
      </c>
      <c r="R232">
        <v>77</v>
      </c>
      <c r="S232">
        <v>77</v>
      </c>
      <c r="T232">
        <v>0</v>
      </c>
      <c r="U232" s="3" t="s">
        <v>63</v>
      </c>
      <c r="V232" s="3" t="s">
        <v>64</v>
      </c>
      <c r="W232">
        <v>120</v>
      </c>
      <c r="X232">
        <v>0</v>
      </c>
      <c r="Y232">
        <v>50</v>
      </c>
      <c r="Z232" s="4">
        <v>0.83333333333333404</v>
      </c>
      <c r="AA232" s="4">
        <v>1.155</v>
      </c>
      <c r="AB232" s="4">
        <v>1</v>
      </c>
      <c r="AC232" s="4">
        <v>0.96250000000000102</v>
      </c>
      <c r="AD232" s="6">
        <v>1600</v>
      </c>
      <c r="AE232" s="5">
        <v>9240</v>
      </c>
      <c r="AF232">
        <v>1600</v>
      </c>
      <c r="AG232"/>
      <c r="AH232"/>
      <c r="AI232"/>
      <c r="AJ232"/>
    </row>
    <row r="233" spans="1:36" x14ac:dyDescent="0.25">
      <c r="A233">
        <v>232</v>
      </c>
      <c r="B233" s="1">
        <v>46044</v>
      </c>
      <c r="C233" s="1">
        <v>46044</v>
      </c>
      <c r="D233" s="2">
        <v>0.58333333333333337</v>
      </c>
      <c r="E233" s="2">
        <v>0.625</v>
      </c>
      <c r="F233" s="3" t="s">
        <v>56</v>
      </c>
      <c r="G233" s="3" t="s">
        <v>306</v>
      </c>
      <c r="H233" s="3" t="s">
        <v>91</v>
      </c>
      <c r="I233" s="3" t="s">
        <v>59</v>
      </c>
      <c r="J233" s="3" t="s">
        <v>60</v>
      </c>
      <c r="K233" s="3" t="s">
        <v>61</v>
      </c>
      <c r="L233" s="3" t="s">
        <v>62</v>
      </c>
      <c r="M233">
        <v>80</v>
      </c>
      <c r="N233">
        <v>45</v>
      </c>
      <c r="O233">
        <v>60</v>
      </c>
      <c r="P233">
        <v>0</v>
      </c>
      <c r="Q233" s="3" t="s">
        <v>39</v>
      </c>
      <c r="R233">
        <v>73</v>
      </c>
      <c r="S233">
        <v>64</v>
      </c>
      <c r="T233">
        <v>9</v>
      </c>
      <c r="U233" s="3" t="s">
        <v>63</v>
      </c>
      <c r="V233" s="3" t="s">
        <v>64</v>
      </c>
      <c r="W233">
        <v>120</v>
      </c>
      <c r="X233">
        <v>1080</v>
      </c>
      <c r="Y233">
        <v>60</v>
      </c>
      <c r="Z233" s="4">
        <v>1</v>
      </c>
      <c r="AA233" s="4">
        <v>0.91249999999999998</v>
      </c>
      <c r="AB233" s="4">
        <v>0.87671232876712302</v>
      </c>
      <c r="AC233" s="4">
        <v>0.8</v>
      </c>
      <c r="AD233" s="6">
        <v>0</v>
      </c>
      <c r="AE233" s="5">
        <v>7680</v>
      </c>
      <c r="AF233">
        <v>1080</v>
      </c>
      <c r="AG233"/>
      <c r="AH233"/>
      <c r="AI233"/>
      <c r="AJ233"/>
    </row>
    <row r="234" spans="1:36" x14ac:dyDescent="0.25">
      <c r="A234">
        <v>233</v>
      </c>
      <c r="B234" s="1">
        <v>46044</v>
      </c>
      <c r="C234" s="1">
        <v>46044</v>
      </c>
      <c r="D234" s="2">
        <v>0.625</v>
      </c>
      <c r="E234" s="2">
        <v>0.66666666666666663</v>
      </c>
      <c r="F234" s="3" t="s">
        <v>56</v>
      </c>
      <c r="G234" s="3" t="s">
        <v>307</v>
      </c>
      <c r="H234" s="3" t="s">
        <v>58</v>
      </c>
      <c r="I234" s="3" t="s">
        <v>59</v>
      </c>
      <c r="J234" s="3" t="s">
        <v>60</v>
      </c>
      <c r="K234" s="3" t="s">
        <v>61</v>
      </c>
      <c r="L234" s="3" t="s">
        <v>62</v>
      </c>
      <c r="M234">
        <v>80</v>
      </c>
      <c r="N234">
        <v>45</v>
      </c>
      <c r="O234">
        <v>60</v>
      </c>
      <c r="P234">
        <v>47</v>
      </c>
      <c r="Q234" s="3" t="s">
        <v>68</v>
      </c>
      <c r="R234">
        <v>48</v>
      </c>
      <c r="S234">
        <v>30</v>
      </c>
      <c r="T234">
        <v>18</v>
      </c>
      <c r="U234" s="3" t="s">
        <v>69</v>
      </c>
      <c r="V234" s="3" t="s">
        <v>70</v>
      </c>
      <c r="W234">
        <v>120</v>
      </c>
      <c r="X234">
        <v>2160</v>
      </c>
      <c r="Y234">
        <v>13</v>
      </c>
      <c r="Z234" s="4">
        <v>0.21666666666666701</v>
      </c>
      <c r="AA234" s="4">
        <v>2.7692307692307701</v>
      </c>
      <c r="AB234" s="4">
        <v>0.625</v>
      </c>
      <c r="AC234" s="4">
        <v>0.375000000000001</v>
      </c>
      <c r="AD234" s="6">
        <v>7520</v>
      </c>
      <c r="AE234" s="5">
        <v>3600</v>
      </c>
      <c r="AF234">
        <v>9680</v>
      </c>
      <c r="AG234"/>
      <c r="AH234"/>
      <c r="AI234"/>
      <c r="AJ234"/>
    </row>
    <row r="235" spans="1:36" x14ac:dyDescent="0.25">
      <c r="A235">
        <v>234</v>
      </c>
      <c r="B235" s="1">
        <v>46044</v>
      </c>
      <c r="C235" s="1">
        <v>46044</v>
      </c>
      <c r="D235" s="2">
        <v>0.66666666666666663</v>
      </c>
      <c r="E235" s="2">
        <v>0.70833333333333337</v>
      </c>
      <c r="F235" s="3" t="s">
        <v>56</v>
      </c>
      <c r="G235" s="3" t="s">
        <v>308</v>
      </c>
      <c r="H235" s="3" t="s">
        <v>67</v>
      </c>
      <c r="I235" s="3" t="s">
        <v>30</v>
      </c>
      <c r="J235" s="3" t="s">
        <v>31</v>
      </c>
      <c r="K235" s="3" t="s">
        <v>32</v>
      </c>
      <c r="L235" s="3" t="s">
        <v>33</v>
      </c>
      <c r="M235">
        <v>100</v>
      </c>
      <c r="N235">
        <v>36</v>
      </c>
      <c r="O235">
        <v>60</v>
      </c>
      <c r="P235">
        <v>7</v>
      </c>
      <c r="Q235" s="3" t="s">
        <v>34</v>
      </c>
      <c r="R235">
        <v>90</v>
      </c>
      <c r="S235">
        <v>88</v>
      </c>
      <c r="T235">
        <v>2</v>
      </c>
      <c r="U235" s="3" t="s">
        <v>72</v>
      </c>
      <c r="V235" s="3" t="s">
        <v>73</v>
      </c>
      <c r="W235">
        <v>50</v>
      </c>
      <c r="X235">
        <v>100</v>
      </c>
      <c r="Y235">
        <v>53</v>
      </c>
      <c r="Z235" s="4">
        <v>0.88333333333333297</v>
      </c>
      <c r="AA235" s="4">
        <v>1.0188679245283001</v>
      </c>
      <c r="AB235" s="4">
        <v>0.97777777777777797</v>
      </c>
      <c r="AC235" s="4">
        <v>0.87999999999999801</v>
      </c>
      <c r="AD235" s="6">
        <v>583.33330000000001</v>
      </c>
      <c r="AE235" s="5">
        <v>4400</v>
      </c>
      <c r="AF235">
        <v>683.33330000000001</v>
      </c>
      <c r="AG235"/>
      <c r="AH235"/>
      <c r="AI235"/>
      <c r="AJ235"/>
    </row>
    <row r="236" spans="1:36" x14ac:dyDescent="0.25">
      <c r="A236">
        <v>235</v>
      </c>
      <c r="B236" s="1">
        <v>46044</v>
      </c>
      <c r="C236" s="1">
        <v>46044</v>
      </c>
      <c r="D236" s="2">
        <v>0.70833333333333337</v>
      </c>
      <c r="E236" s="2">
        <v>0.75</v>
      </c>
      <c r="F236" s="3" t="s">
        <v>56</v>
      </c>
      <c r="G236" s="3" t="s">
        <v>309</v>
      </c>
      <c r="H236" s="3" t="s">
        <v>98</v>
      </c>
      <c r="I236" s="3" t="s">
        <v>30</v>
      </c>
      <c r="J236" s="3" t="s">
        <v>31</v>
      </c>
      <c r="K236" s="3" t="s">
        <v>32</v>
      </c>
      <c r="L236" s="3" t="s">
        <v>33</v>
      </c>
      <c r="M236">
        <v>100</v>
      </c>
      <c r="N236">
        <v>36</v>
      </c>
      <c r="O236">
        <v>60</v>
      </c>
      <c r="P236">
        <v>0</v>
      </c>
      <c r="Q236" s="3" t="s">
        <v>39</v>
      </c>
      <c r="R236">
        <v>107</v>
      </c>
      <c r="S236">
        <v>106</v>
      </c>
      <c r="T236">
        <v>1</v>
      </c>
      <c r="U236" s="3" t="s">
        <v>75</v>
      </c>
      <c r="V236" s="3" t="s">
        <v>76</v>
      </c>
      <c r="W236">
        <v>50</v>
      </c>
      <c r="X236">
        <v>50</v>
      </c>
      <c r="Y236">
        <v>60</v>
      </c>
      <c r="Z236" s="4">
        <v>1</v>
      </c>
      <c r="AA236" s="4">
        <v>1.07</v>
      </c>
      <c r="AB236" s="4">
        <v>0.99065420560747597</v>
      </c>
      <c r="AC236" s="4">
        <v>1.06</v>
      </c>
      <c r="AD236" s="6">
        <v>0</v>
      </c>
      <c r="AE236" s="5">
        <v>5300</v>
      </c>
      <c r="AF236">
        <v>50</v>
      </c>
      <c r="AG236"/>
      <c r="AH236"/>
      <c r="AI236"/>
      <c r="AJ236"/>
    </row>
    <row r="237" spans="1:36" x14ac:dyDescent="0.25">
      <c r="A237">
        <v>236</v>
      </c>
      <c r="B237" s="1">
        <v>46044</v>
      </c>
      <c r="C237" s="1">
        <v>46044</v>
      </c>
      <c r="D237" s="2">
        <v>0.70833333333333337</v>
      </c>
      <c r="E237" s="2">
        <v>0.75</v>
      </c>
      <c r="F237" s="3" t="s">
        <v>56</v>
      </c>
      <c r="G237" s="3" t="s">
        <v>310</v>
      </c>
      <c r="H237" s="3" t="s">
        <v>29</v>
      </c>
      <c r="I237" s="3" t="s">
        <v>30</v>
      </c>
      <c r="J237" s="3" t="s">
        <v>31</v>
      </c>
      <c r="K237" s="3" t="s">
        <v>32</v>
      </c>
      <c r="L237" s="3" t="s">
        <v>33</v>
      </c>
      <c r="M237">
        <v>100</v>
      </c>
      <c r="N237">
        <v>36</v>
      </c>
      <c r="O237">
        <v>60</v>
      </c>
      <c r="P237">
        <v>2</v>
      </c>
      <c r="Q237" s="3" t="s">
        <v>78</v>
      </c>
      <c r="R237">
        <v>96</v>
      </c>
      <c r="S237">
        <v>96</v>
      </c>
      <c r="T237">
        <v>0</v>
      </c>
      <c r="U237" s="3" t="s">
        <v>75</v>
      </c>
      <c r="V237" s="3" t="s">
        <v>76</v>
      </c>
      <c r="W237">
        <v>50</v>
      </c>
      <c r="X237">
        <v>0</v>
      </c>
      <c r="Y237">
        <v>58</v>
      </c>
      <c r="Z237" s="4">
        <v>0.96666666666666701</v>
      </c>
      <c r="AA237" s="4">
        <v>0.99310344827586206</v>
      </c>
      <c r="AB237" s="4">
        <v>1</v>
      </c>
      <c r="AC237" s="4">
        <v>0.96</v>
      </c>
      <c r="AD237" s="6">
        <v>166.66669999999999</v>
      </c>
      <c r="AE237" s="5">
        <v>4800</v>
      </c>
      <c r="AF237">
        <v>166.66669999999999</v>
      </c>
      <c r="AG237"/>
      <c r="AH237"/>
      <c r="AI237"/>
      <c r="AJ237"/>
    </row>
    <row r="238" spans="1:36" x14ac:dyDescent="0.25">
      <c r="A238">
        <v>237</v>
      </c>
      <c r="B238" s="1">
        <v>46045</v>
      </c>
      <c r="C238" s="1">
        <v>46045</v>
      </c>
      <c r="D238" s="2">
        <v>0.29166666666666669</v>
      </c>
      <c r="E238" s="2">
        <v>0.33333333333333331</v>
      </c>
      <c r="F238" s="3" t="s">
        <v>27</v>
      </c>
      <c r="G238" s="3" t="s">
        <v>311</v>
      </c>
      <c r="H238" s="3" t="s">
        <v>84</v>
      </c>
      <c r="I238" s="3" t="s">
        <v>45</v>
      </c>
      <c r="J238" s="3" t="s">
        <v>46</v>
      </c>
      <c r="K238" s="3" t="s">
        <v>47</v>
      </c>
      <c r="L238" s="3" t="s">
        <v>33</v>
      </c>
      <c r="M238">
        <v>120</v>
      </c>
      <c r="N238">
        <v>30</v>
      </c>
      <c r="O238">
        <v>60</v>
      </c>
      <c r="P238">
        <v>0</v>
      </c>
      <c r="Q238" s="3" t="s">
        <v>39</v>
      </c>
      <c r="R238">
        <v>124</v>
      </c>
      <c r="S238">
        <v>120</v>
      </c>
      <c r="T238">
        <v>4</v>
      </c>
      <c r="U238" s="3" t="s">
        <v>35</v>
      </c>
      <c r="V238" s="3" t="s">
        <v>36</v>
      </c>
      <c r="W238">
        <v>80</v>
      </c>
      <c r="X238">
        <v>320</v>
      </c>
      <c r="Y238">
        <v>60</v>
      </c>
      <c r="Z238" s="4">
        <v>1</v>
      </c>
      <c r="AA238" s="4">
        <v>1.0333333333333301</v>
      </c>
      <c r="AB238" s="4">
        <v>0.967741935483871</v>
      </c>
      <c r="AC238" s="4">
        <v>0.999999999999997</v>
      </c>
      <c r="AD238" s="6">
        <v>0</v>
      </c>
      <c r="AE238" s="5">
        <v>9600</v>
      </c>
      <c r="AF238">
        <v>320</v>
      </c>
      <c r="AG238"/>
      <c r="AH238"/>
      <c r="AI238"/>
      <c r="AJ238"/>
    </row>
    <row r="239" spans="1:36" x14ac:dyDescent="0.25">
      <c r="A239">
        <v>238</v>
      </c>
      <c r="B239" s="1">
        <v>46045</v>
      </c>
      <c r="C239" s="1">
        <v>46045</v>
      </c>
      <c r="D239" s="2">
        <v>0.33333333333333331</v>
      </c>
      <c r="E239" s="2">
        <v>0.375</v>
      </c>
      <c r="F239" s="3" t="s">
        <v>27</v>
      </c>
      <c r="G239" s="3" t="s">
        <v>312</v>
      </c>
      <c r="H239" s="3" t="s">
        <v>58</v>
      </c>
      <c r="I239" s="3" t="s">
        <v>45</v>
      </c>
      <c r="J239" s="3" t="s">
        <v>46</v>
      </c>
      <c r="K239" s="3" t="s">
        <v>47</v>
      </c>
      <c r="L239" s="3" t="s">
        <v>33</v>
      </c>
      <c r="M239">
        <v>120</v>
      </c>
      <c r="N239">
        <v>30</v>
      </c>
      <c r="O239">
        <v>60</v>
      </c>
      <c r="P239">
        <v>9</v>
      </c>
      <c r="Q239" s="3" t="s">
        <v>82</v>
      </c>
      <c r="R239">
        <v>0</v>
      </c>
      <c r="S239">
        <v>0</v>
      </c>
      <c r="T239">
        <v>0</v>
      </c>
      <c r="U239" s="3" t="s">
        <v>42</v>
      </c>
      <c r="V239" s="3" t="s">
        <v>43</v>
      </c>
      <c r="W239">
        <v>80</v>
      </c>
      <c r="X239">
        <v>0</v>
      </c>
      <c r="Y239">
        <v>51</v>
      </c>
      <c r="Z239" s="4">
        <v>0.85</v>
      </c>
      <c r="AA239" s="4">
        <v>0</v>
      </c>
      <c r="AB239" s="4">
        <v>0</v>
      </c>
      <c r="AC239" s="4">
        <v>0</v>
      </c>
      <c r="AD239" s="6">
        <v>1440</v>
      </c>
      <c r="AE239" s="5">
        <v>0</v>
      </c>
      <c r="AF239">
        <v>1440</v>
      </c>
      <c r="AG239"/>
      <c r="AH239"/>
      <c r="AI239"/>
      <c r="AJ239"/>
    </row>
    <row r="240" spans="1:36" x14ac:dyDescent="0.25">
      <c r="A240">
        <v>239</v>
      </c>
      <c r="B240" s="1">
        <v>46045</v>
      </c>
      <c r="C240" s="1">
        <v>46045</v>
      </c>
      <c r="D240" s="2">
        <v>0.375</v>
      </c>
      <c r="E240" s="2">
        <v>0.41666666666666669</v>
      </c>
      <c r="F240" s="3" t="s">
        <v>27</v>
      </c>
      <c r="G240" s="3" t="s">
        <v>313</v>
      </c>
      <c r="H240" s="3" t="s">
        <v>67</v>
      </c>
      <c r="I240" s="3" t="s">
        <v>45</v>
      </c>
      <c r="J240" s="3" t="s">
        <v>46</v>
      </c>
      <c r="K240" s="3" t="s">
        <v>47</v>
      </c>
      <c r="L240" s="3" t="s">
        <v>33</v>
      </c>
      <c r="M240">
        <v>120</v>
      </c>
      <c r="N240">
        <v>30</v>
      </c>
      <c r="O240">
        <v>60</v>
      </c>
      <c r="P240">
        <v>2</v>
      </c>
      <c r="Q240" s="3" t="s">
        <v>85</v>
      </c>
      <c r="R240">
        <v>108</v>
      </c>
      <c r="S240">
        <v>105</v>
      </c>
      <c r="T240">
        <v>3</v>
      </c>
      <c r="U240" s="3" t="s">
        <v>42</v>
      </c>
      <c r="V240" s="3" t="s">
        <v>43</v>
      </c>
      <c r="W240">
        <v>80</v>
      </c>
      <c r="X240">
        <v>240</v>
      </c>
      <c r="Y240">
        <v>58</v>
      </c>
      <c r="Z240" s="4">
        <v>0.96666666666666701</v>
      </c>
      <c r="AA240" s="4">
        <v>0.931034482758621</v>
      </c>
      <c r="AB240" s="4">
        <v>0.97222222222222199</v>
      </c>
      <c r="AC240" s="4">
        <v>0.875</v>
      </c>
      <c r="AD240" s="6">
        <v>320</v>
      </c>
      <c r="AE240" s="5">
        <v>8400</v>
      </c>
      <c r="AF240">
        <v>560</v>
      </c>
      <c r="AG240"/>
      <c r="AH240"/>
      <c r="AI240"/>
      <c r="AJ240"/>
    </row>
    <row r="241" spans="1:36" x14ac:dyDescent="0.25">
      <c r="A241">
        <v>240</v>
      </c>
      <c r="B241" s="1">
        <v>46045</v>
      </c>
      <c r="C241" s="1">
        <v>46045</v>
      </c>
      <c r="D241" s="2">
        <v>0.41666666666666669</v>
      </c>
      <c r="E241" s="2">
        <v>0.45833333333333331</v>
      </c>
      <c r="F241" s="3" t="s">
        <v>27</v>
      </c>
      <c r="G241" s="3" t="s">
        <v>314</v>
      </c>
      <c r="H241" s="3" t="s">
        <v>58</v>
      </c>
      <c r="I241" s="3" t="s">
        <v>59</v>
      </c>
      <c r="J241" s="3" t="s">
        <v>60</v>
      </c>
      <c r="K241" s="3" t="s">
        <v>61</v>
      </c>
      <c r="L241" s="3" t="s">
        <v>62</v>
      </c>
      <c r="M241">
        <v>80</v>
      </c>
      <c r="N241">
        <v>45</v>
      </c>
      <c r="O241">
        <v>60</v>
      </c>
      <c r="P241">
        <v>0</v>
      </c>
      <c r="Q241" s="3" t="s">
        <v>39</v>
      </c>
      <c r="R241">
        <v>86</v>
      </c>
      <c r="S241">
        <v>75</v>
      </c>
      <c r="T241">
        <v>11</v>
      </c>
      <c r="U241" s="3" t="s">
        <v>49</v>
      </c>
      <c r="V241" s="3" t="s">
        <v>50</v>
      </c>
      <c r="W241">
        <v>120</v>
      </c>
      <c r="X241">
        <v>1320</v>
      </c>
      <c r="Y241">
        <v>60</v>
      </c>
      <c r="Z241" s="4">
        <v>1</v>
      </c>
      <c r="AA241" s="4">
        <v>1.075</v>
      </c>
      <c r="AB241" s="4">
        <v>0.87209302325581395</v>
      </c>
      <c r="AC241" s="4">
        <v>0.9375</v>
      </c>
      <c r="AD241" s="6">
        <v>0</v>
      </c>
      <c r="AE241" s="5">
        <v>9000</v>
      </c>
      <c r="AF241">
        <v>1320</v>
      </c>
      <c r="AG241"/>
      <c r="AH241"/>
      <c r="AI241"/>
      <c r="AJ241"/>
    </row>
    <row r="242" spans="1:36" x14ac:dyDescent="0.25">
      <c r="A242">
        <v>241</v>
      </c>
      <c r="B242" s="1">
        <v>46045</v>
      </c>
      <c r="C242" s="1">
        <v>46045</v>
      </c>
      <c r="D242" s="2">
        <v>0.45833333333333331</v>
      </c>
      <c r="E242" s="2">
        <v>0.5</v>
      </c>
      <c r="F242" s="3" t="s">
        <v>27</v>
      </c>
      <c r="G242" s="3" t="s">
        <v>315</v>
      </c>
      <c r="H242" s="3" t="s">
        <v>117</v>
      </c>
      <c r="I242" s="3" t="s">
        <v>59</v>
      </c>
      <c r="J242" s="3" t="s">
        <v>60</v>
      </c>
      <c r="K242" s="3" t="s">
        <v>61</v>
      </c>
      <c r="L242" s="3" t="s">
        <v>62</v>
      </c>
      <c r="M242">
        <v>80</v>
      </c>
      <c r="N242">
        <v>45</v>
      </c>
      <c r="O242">
        <v>60</v>
      </c>
      <c r="P242">
        <v>14</v>
      </c>
      <c r="Q242" s="3" t="s">
        <v>88</v>
      </c>
      <c r="R242">
        <v>64</v>
      </c>
      <c r="S242">
        <v>64</v>
      </c>
      <c r="T242">
        <v>0</v>
      </c>
      <c r="U242" s="3" t="s">
        <v>54</v>
      </c>
      <c r="V242" s="3" t="s">
        <v>55</v>
      </c>
      <c r="W242">
        <v>120</v>
      </c>
      <c r="X242">
        <v>0</v>
      </c>
      <c r="Y242">
        <v>46</v>
      </c>
      <c r="Z242" s="4">
        <v>0.76666666666666705</v>
      </c>
      <c r="AA242" s="4">
        <v>1.0434782608695701</v>
      </c>
      <c r="AB242" s="4">
        <v>1</v>
      </c>
      <c r="AC242" s="4">
        <v>0.80000000000000404</v>
      </c>
      <c r="AD242" s="6">
        <v>2240</v>
      </c>
      <c r="AE242" s="5">
        <v>7680</v>
      </c>
      <c r="AF242">
        <v>2240</v>
      </c>
      <c r="AG242"/>
      <c r="AH242"/>
      <c r="AI242"/>
      <c r="AJ242"/>
    </row>
    <row r="243" spans="1:36" x14ac:dyDescent="0.25">
      <c r="A243">
        <v>242</v>
      </c>
      <c r="B243" s="1">
        <v>46045</v>
      </c>
      <c r="C243" s="1">
        <v>46045</v>
      </c>
      <c r="D243" s="2">
        <v>0.5</v>
      </c>
      <c r="E243" s="2">
        <v>0.54166666666666663</v>
      </c>
      <c r="F243" s="3" t="s">
        <v>56</v>
      </c>
      <c r="G243" s="3" t="s">
        <v>316</v>
      </c>
      <c r="H243" s="3" t="s">
        <v>67</v>
      </c>
      <c r="I243" s="3" t="s">
        <v>30</v>
      </c>
      <c r="J243" s="3" t="s">
        <v>31</v>
      </c>
      <c r="K243" s="3" t="s">
        <v>32</v>
      </c>
      <c r="L243" s="3" t="s">
        <v>33</v>
      </c>
      <c r="M243">
        <v>100</v>
      </c>
      <c r="N243">
        <v>36</v>
      </c>
      <c r="O243">
        <v>60</v>
      </c>
      <c r="P243">
        <v>0</v>
      </c>
      <c r="Q243" s="3" t="s">
        <v>39</v>
      </c>
      <c r="R243">
        <v>90</v>
      </c>
      <c r="S243">
        <v>88</v>
      </c>
      <c r="T243">
        <v>2</v>
      </c>
      <c r="U243" s="3" t="s">
        <v>63</v>
      </c>
      <c r="V243" s="3" t="s">
        <v>64</v>
      </c>
      <c r="W243">
        <v>50</v>
      </c>
      <c r="X243">
        <v>100</v>
      </c>
      <c r="Y243">
        <v>60</v>
      </c>
      <c r="Z243" s="4">
        <v>1</v>
      </c>
      <c r="AA243" s="4">
        <v>0.9</v>
      </c>
      <c r="AB243" s="4">
        <v>0.97777777777777797</v>
      </c>
      <c r="AC243" s="4">
        <v>0.88</v>
      </c>
      <c r="AD243" s="6">
        <v>0</v>
      </c>
      <c r="AE243" s="5">
        <v>4400</v>
      </c>
      <c r="AF243">
        <v>100</v>
      </c>
      <c r="AG243"/>
      <c r="AH243"/>
      <c r="AI243"/>
      <c r="AJ243"/>
    </row>
    <row r="244" spans="1:36" x14ac:dyDescent="0.25">
      <c r="A244">
        <v>243</v>
      </c>
      <c r="B244" s="1">
        <v>46045</v>
      </c>
      <c r="C244" s="1">
        <v>46045</v>
      </c>
      <c r="D244" s="2">
        <v>0.54166666666666663</v>
      </c>
      <c r="E244" s="2">
        <v>0.58333333333333337</v>
      </c>
      <c r="F244" s="3" t="s">
        <v>56</v>
      </c>
      <c r="G244" s="3" t="s">
        <v>317</v>
      </c>
      <c r="H244" s="3" t="s">
        <v>84</v>
      </c>
      <c r="I244" s="3" t="s">
        <v>30</v>
      </c>
      <c r="J244" s="3" t="s">
        <v>31</v>
      </c>
      <c r="K244" s="3" t="s">
        <v>32</v>
      </c>
      <c r="L244" s="3" t="s">
        <v>33</v>
      </c>
      <c r="M244">
        <v>100</v>
      </c>
      <c r="N244">
        <v>36</v>
      </c>
      <c r="O244">
        <v>60</v>
      </c>
      <c r="P244">
        <v>9</v>
      </c>
      <c r="Q244" s="3" t="s">
        <v>92</v>
      </c>
      <c r="R244">
        <v>86</v>
      </c>
      <c r="S244">
        <v>86</v>
      </c>
      <c r="T244">
        <v>0</v>
      </c>
      <c r="U244" s="3" t="s">
        <v>69</v>
      </c>
      <c r="V244" s="3" t="s">
        <v>70</v>
      </c>
      <c r="W244">
        <v>50</v>
      </c>
      <c r="X244">
        <v>0</v>
      </c>
      <c r="Y244">
        <v>51</v>
      </c>
      <c r="Z244" s="4">
        <v>0.85</v>
      </c>
      <c r="AA244" s="4">
        <v>1.01176470588235</v>
      </c>
      <c r="AB244" s="4">
        <v>1</v>
      </c>
      <c r="AC244" s="4">
        <v>0.85999999999999799</v>
      </c>
      <c r="AD244" s="6">
        <v>750</v>
      </c>
      <c r="AE244" s="5">
        <v>4300</v>
      </c>
      <c r="AF244">
        <v>750</v>
      </c>
      <c r="AG244"/>
      <c r="AH244"/>
      <c r="AI244"/>
      <c r="AJ244"/>
    </row>
    <row r="245" spans="1:36" x14ac:dyDescent="0.25">
      <c r="A245">
        <v>244</v>
      </c>
      <c r="B245" s="1">
        <v>46045</v>
      </c>
      <c r="C245" s="1">
        <v>46045</v>
      </c>
      <c r="D245" s="2">
        <v>0.58333333333333337</v>
      </c>
      <c r="E245" s="2">
        <v>0.625</v>
      </c>
      <c r="F245" s="3" t="s">
        <v>56</v>
      </c>
      <c r="G245" s="3" t="s">
        <v>318</v>
      </c>
      <c r="H245" s="3" t="s">
        <v>67</v>
      </c>
      <c r="I245" s="3" t="s">
        <v>45</v>
      </c>
      <c r="J245" s="3" t="s">
        <v>46</v>
      </c>
      <c r="K245" s="3" t="s">
        <v>47</v>
      </c>
      <c r="L245" s="3" t="s">
        <v>33</v>
      </c>
      <c r="M245">
        <v>120</v>
      </c>
      <c r="N245">
        <v>30</v>
      </c>
      <c r="O245">
        <v>60</v>
      </c>
      <c r="P245">
        <v>0</v>
      </c>
      <c r="Q245" s="3" t="s">
        <v>39</v>
      </c>
      <c r="R245">
        <v>124</v>
      </c>
      <c r="S245">
        <v>119</v>
      </c>
      <c r="T245">
        <v>5</v>
      </c>
      <c r="U245" s="3" t="s">
        <v>72</v>
      </c>
      <c r="V245" s="3" t="s">
        <v>73</v>
      </c>
      <c r="W245">
        <v>80</v>
      </c>
      <c r="X245">
        <v>400</v>
      </c>
      <c r="Y245">
        <v>60</v>
      </c>
      <c r="Z245" s="4">
        <v>1</v>
      </c>
      <c r="AA245" s="4">
        <v>1.0333333333333301</v>
      </c>
      <c r="AB245" s="4">
        <v>0.95967741935483897</v>
      </c>
      <c r="AC245" s="4">
        <v>0.99166666666666403</v>
      </c>
      <c r="AD245" s="6">
        <v>0</v>
      </c>
      <c r="AE245" s="5">
        <v>9520</v>
      </c>
      <c r="AF245">
        <v>400</v>
      </c>
      <c r="AG245"/>
      <c r="AH245"/>
      <c r="AI245"/>
      <c r="AJ245"/>
    </row>
    <row r="246" spans="1:36" x14ac:dyDescent="0.25">
      <c r="A246">
        <v>245</v>
      </c>
      <c r="B246" s="1">
        <v>46045</v>
      </c>
      <c r="C246" s="1">
        <v>46045</v>
      </c>
      <c r="D246" s="2">
        <v>0.625</v>
      </c>
      <c r="E246" s="2">
        <v>0.66666666666666663</v>
      </c>
      <c r="F246" s="3" t="s">
        <v>56</v>
      </c>
      <c r="G246" s="3" t="s">
        <v>319</v>
      </c>
      <c r="H246" s="3" t="s">
        <v>117</v>
      </c>
      <c r="I246" s="3" t="s">
        <v>45</v>
      </c>
      <c r="J246" s="3" t="s">
        <v>46</v>
      </c>
      <c r="K246" s="3" t="s">
        <v>47</v>
      </c>
      <c r="L246" s="3" t="s">
        <v>33</v>
      </c>
      <c r="M246">
        <v>120</v>
      </c>
      <c r="N246">
        <v>30</v>
      </c>
      <c r="O246">
        <v>60</v>
      </c>
      <c r="P246">
        <v>13</v>
      </c>
      <c r="Q246" s="3" t="s">
        <v>95</v>
      </c>
      <c r="R246">
        <v>76</v>
      </c>
      <c r="S246">
        <v>66</v>
      </c>
      <c r="T246">
        <v>10</v>
      </c>
      <c r="U246" s="3" t="s">
        <v>63</v>
      </c>
      <c r="V246" s="3" t="s">
        <v>64</v>
      </c>
      <c r="W246">
        <v>80</v>
      </c>
      <c r="X246">
        <v>800</v>
      </c>
      <c r="Y246">
        <v>47</v>
      </c>
      <c r="Z246" s="4">
        <v>0.78333333333333299</v>
      </c>
      <c r="AA246" s="4">
        <v>0.80851063829787195</v>
      </c>
      <c r="AB246" s="4">
        <v>0.86842105263157898</v>
      </c>
      <c r="AC246" s="4">
        <v>0.54999999999999905</v>
      </c>
      <c r="AD246" s="6">
        <v>2080</v>
      </c>
      <c r="AE246" s="5">
        <v>5280</v>
      </c>
      <c r="AF246">
        <v>2880</v>
      </c>
      <c r="AG246"/>
      <c r="AH246"/>
      <c r="AI246"/>
      <c r="AJ246"/>
    </row>
    <row r="247" spans="1:36" x14ac:dyDescent="0.25">
      <c r="A247">
        <v>246</v>
      </c>
      <c r="B247" s="1">
        <v>46045</v>
      </c>
      <c r="C247" s="1">
        <v>46045</v>
      </c>
      <c r="D247" s="2">
        <v>0.70833333333333337</v>
      </c>
      <c r="E247" s="2">
        <v>0.75</v>
      </c>
      <c r="F247" s="3" t="s">
        <v>96</v>
      </c>
      <c r="G247" s="3" t="s">
        <v>320</v>
      </c>
      <c r="H247" s="3" t="s">
        <v>117</v>
      </c>
      <c r="I247" s="3" t="s">
        <v>59</v>
      </c>
      <c r="J247" s="3" t="s">
        <v>60</v>
      </c>
      <c r="K247" s="3" t="s">
        <v>61</v>
      </c>
      <c r="L247" s="3" t="s">
        <v>62</v>
      </c>
      <c r="M247">
        <v>80</v>
      </c>
      <c r="N247">
        <v>45</v>
      </c>
      <c r="O247">
        <v>60</v>
      </c>
      <c r="P247">
        <v>0</v>
      </c>
      <c r="Q247" s="3" t="s">
        <v>39</v>
      </c>
      <c r="R247">
        <v>77</v>
      </c>
      <c r="S247">
        <v>77</v>
      </c>
      <c r="T247">
        <v>0</v>
      </c>
      <c r="U247" s="3" t="s">
        <v>99</v>
      </c>
      <c r="V247" s="3" t="s">
        <v>100</v>
      </c>
      <c r="W247">
        <v>120</v>
      </c>
      <c r="X247">
        <v>0</v>
      </c>
      <c r="Y247">
        <v>60</v>
      </c>
      <c r="Z247" s="4">
        <v>1</v>
      </c>
      <c r="AA247" s="4">
        <v>0.96250000000000002</v>
      </c>
      <c r="AB247" s="4">
        <v>1</v>
      </c>
      <c r="AC247" s="4">
        <v>0.96250000000000002</v>
      </c>
      <c r="AD247" s="6">
        <v>0</v>
      </c>
      <c r="AE247" s="5">
        <v>9240</v>
      </c>
      <c r="AF247">
        <v>0</v>
      </c>
      <c r="AG247"/>
      <c r="AH247"/>
      <c r="AI247"/>
      <c r="AJ247"/>
    </row>
    <row r="248" spans="1:36" x14ac:dyDescent="0.25">
      <c r="A248">
        <v>247</v>
      </c>
      <c r="B248" s="1">
        <v>46045</v>
      </c>
      <c r="C248" s="1">
        <v>46045</v>
      </c>
      <c r="D248" s="2">
        <v>0.75</v>
      </c>
      <c r="E248" s="2">
        <v>0.79166666666666663</v>
      </c>
      <c r="F248" s="3" t="s">
        <v>96</v>
      </c>
      <c r="G248" s="3" t="s">
        <v>321</v>
      </c>
      <c r="H248" s="3" t="s">
        <v>80</v>
      </c>
      <c r="I248" s="3" t="s">
        <v>59</v>
      </c>
      <c r="J248" s="3" t="s">
        <v>60</v>
      </c>
      <c r="K248" s="3" t="s">
        <v>61</v>
      </c>
      <c r="L248" s="3" t="s">
        <v>62</v>
      </c>
      <c r="M248">
        <v>80</v>
      </c>
      <c r="N248">
        <v>45</v>
      </c>
      <c r="O248">
        <v>60</v>
      </c>
      <c r="P248">
        <v>23</v>
      </c>
      <c r="Q248" s="3" t="s">
        <v>102</v>
      </c>
      <c r="R248">
        <v>60</v>
      </c>
      <c r="S248">
        <v>7</v>
      </c>
      <c r="T248">
        <v>53</v>
      </c>
      <c r="U248" s="3" t="s">
        <v>99</v>
      </c>
      <c r="V248" s="3" t="s">
        <v>100</v>
      </c>
      <c r="W248">
        <v>120</v>
      </c>
      <c r="X248">
        <v>6360</v>
      </c>
      <c r="Y248">
        <v>37</v>
      </c>
      <c r="Z248" s="4">
        <v>0.61666666666666703</v>
      </c>
      <c r="AA248" s="4">
        <v>1.21621621621622</v>
      </c>
      <c r="AB248" s="4">
        <v>0.116666666666667</v>
      </c>
      <c r="AC248" s="4">
        <v>8.7500000000000605E-2</v>
      </c>
      <c r="AD248" s="6">
        <v>3680</v>
      </c>
      <c r="AE248" s="5">
        <v>840</v>
      </c>
      <c r="AF248">
        <v>10040</v>
      </c>
      <c r="AG248"/>
      <c r="AH248"/>
      <c r="AI248"/>
      <c r="AJ248"/>
    </row>
    <row r="249" spans="1:36" x14ac:dyDescent="0.25">
      <c r="A249">
        <v>248</v>
      </c>
      <c r="B249" s="1">
        <v>46046</v>
      </c>
      <c r="C249" s="1">
        <v>46046</v>
      </c>
      <c r="D249" s="2">
        <v>0.29166666666666669</v>
      </c>
      <c r="E249" s="2">
        <v>0.33333333333333331</v>
      </c>
      <c r="F249" s="3" t="s">
        <v>27</v>
      </c>
      <c r="G249" s="3" t="s">
        <v>322</v>
      </c>
      <c r="H249" s="3" t="s">
        <v>80</v>
      </c>
      <c r="I249" s="3" t="s">
        <v>30</v>
      </c>
      <c r="J249" s="3" t="s">
        <v>31</v>
      </c>
      <c r="K249" s="3" t="s">
        <v>32</v>
      </c>
      <c r="L249" s="3" t="s">
        <v>33</v>
      </c>
      <c r="M249">
        <v>100</v>
      </c>
      <c r="N249">
        <v>36</v>
      </c>
      <c r="O249">
        <v>60</v>
      </c>
      <c r="P249">
        <v>6</v>
      </c>
      <c r="Q249" s="3" t="s">
        <v>104</v>
      </c>
      <c r="R249">
        <v>101</v>
      </c>
      <c r="S249">
        <v>98</v>
      </c>
      <c r="T249">
        <v>3</v>
      </c>
      <c r="U249" s="3" t="s">
        <v>35</v>
      </c>
      <c r="V249" s="3" t="s">
        <v>36</v>
      </c>
      <c r="W249">
        <v>50</v>
      </c>
      <c r="X249">
        <v>150</v>
      </c>
      <c r="Y249">
        <v>54</v>
      </c>
      <c r="Z249" s="4">
        <v>0.9</v>
      </c>
      <c r="AA249" s="4">
        <v>1.12222222222222</v>
      </c>
      <c r="AB249" s="4">
        <v>0.97029702970297005</v>
      </c>
      <c r="AC249" s="4">
        <v>0.97999999999999798</v>
      </c>
      <c r="AD249" s="6">
        <v>500</v>
      </c>
      <c r="AE249" s="5">
        <v>4900</v>
      </c>
      <c r="AF249">
        <v>650</v>
      </c>
      <c r="AG249"/>
      <c r="AH249"/>
      <c r="AI249"/>
      <c r="AJ249"/>
    </row>
    <row r="250" spans="1:36" x14ac:dyDescent="0.25">
      <c r="A250">
        <v>249</v>
      </c>
      <c r="B250" s="1">
        <v>46046</v>
      </c>
      <c r="C250" s="1">
        <v>46046</v>
      </c>
      <c r="D250" s="2">
        <v>0.33333333333333331</v>
      </c>
      <c r="E250" s="2">
        <v>0.375</v>
      </c>
      <c r="F250" s="3" t="s">
        <v>27</v>
      </c>
      <c r="G250" s="3" t="s">
        <v>323</v>
      </c>
      <c r="H250" s="3" t="s">
        <v>58</v>
      </c>
      <c r="I250" s="3" t="s">
        <v>30</v>
      </c>
      <c r="J250" s="3" t="s">
        <v>31</v>
      </c>
      <c r="K250" s="3" t="s">
        <v>32</v>
      </c>
      <c r="L250" s="3" t="s">
        <v>33</v>
      </c>
      <c r="M250">
        <v>100</v>
      </c>
      <c r="N250">
        <v>36</v>
      </c>
      <c r="O250">
        <v>60</v>
      </c>
      <c r="P250">
        <v>0</v>
      </c>
      <c r="Q250" s="3" t="s">
        <v>39</v>
      </c>
      <c r="R250">
        <v>91</v>
      </c>
      <c r="S250">
        <v>91</v>
      </c>
      <c r="T250">
        <v>0</v>
      </c>
      <c r="U250" s="3" t="s">
        <v>35</v>
      </c>
      <c r="V250" s="3" t="s">
        <v>36</v>
      </c>
      <c r="W250">
        <v>50</v>
      </c>
      <c r="X250">
        <v>0</v>
      </c>
      <c r="Y250">
        <v>60</v>
      </c>
      <c r="Z250" s="4">
        <v>1</v>
      </c>
      <c r="AA250" s="4">
        <v>0.91</v>
      </c>
      <c r="AB250" s="4">
        <v>1</v>
      </c>
      <c r="AC250" s="4">
        <v>0.91</v>
      </c>
      <c r="AD250" s="6">
        <v>0</v>
      </c>
      <c r="AE250" s="5">
        <v>4550</v>
      </c>
      <c r="AF250">
        <v>0</v>
      </c>
      <c r="AG250"/>
      <c r="AH250"/>
      <c r="AI250"/>
      <c r="AJ250"/>
    </row>
    <row r="251" spans="1:36" x14ac:dyDescent="0.25">
      <c r="A251">
        <v>250</v>
      </c>
      <c r="B251" s="1">
        <v>46046</v>
      </c>
      <c r="C251" s="1">
        <v>46046</v>
      </c>
      <c r="D251" s="2">
        <v>0.375</v>
      </c>
      <c r="E251" s="2">
        <v>0.41666666666666669</v>
      </c>
      <c r="F251" s="3" t="s">
        <v>27</v>
      </c>
      <c r="G251" s="3" t="s">
        <v>324</v>
      </c>
      <c r="H251" s="3" t="s">
        <v>80</v>
      </c>
      <c r="I251" s="3" t="s">
        <v>30</v>
      </c>
      <c r="J251" s="3" t="s">
        <v>31</v>
      </c>
      <c r="K251" s="3" t="s">
        <v>32</v>
      </c>
      <c r="L251" s="3" t="s">
        <v>33</v>
      </c>
      <c r="M251">
        <v>100</v>
      </c>
      <c r="N251">
        <v>36</v>
      </c>
      <c r="O251">
        <v>60</v>
      </c>
      <c r="P251">
        <v>10</v>
      </c>
      <c r="Q251" s="3" t="s">
        <v>34</v>
      </c>
      <c r="R251">
        <v>87</v>
      </c>
      <c r="S251">
        <v>85</v>
      </c>
      <c r="T251">
        <v>2</v>
      </c>
      <c r="U251" s="3" t="s">
        <v>35</v>
      </c>
      <c r="V251" s="3" t="s">
        <v>36</v>
      </c>
      <c r="W251">
        <v>50</v>
      </c>
      <c r="X251">
        <v>100</v>
      </c>
      <c r="Y251">
        <v>50</v>
      </c>
      <c r="Z251" s="4">
        <v>0.83333333333333404</v>
      </c>
      <c r="AA251" s="4">
        <v>1.044</v>
      </c>
      <c r="AB251" s="4">
        <v>0.97701149425287404</v>
      </c>
      <c r="AC251" s="4">
        <v>0.85000000000000098</v>
      </c>
      <c r="AD251" s="6">
        <v>833.33330000000001</v>
      </c>
      <c r="AE251" s="5">
        <v>4250</v>
      </c>
      <c r="AF251">
        <v>933.33330000000001</v>
      </c>
      <c r="AG251"/>
      <c r="AH251"/>
      <c r="AI251"/>
      <c r="AJ251"/>
    </row>
    <row r="252" spans="1:36" x14ac:dyDescent="0.25">
      <c r="A252">
        <v>251</v>
      </c>
      <c r="B252" s="1">
        <v>46046</v>
      </c>
      <c r="C252" s="1">
        <v>46046</v>
      </c>
      <c r="D252" s="2">
        <v>0.41666666666666669</v>
      </c>
      <c r="E252" s="2">
        <v>0.45833333333333331</v>
      </c>
      <c r="F252" s="3" t="s">
        <v>27</v>
      </c>
      <c r="G252" s="3" t="s">
        <v>325</v>
      </c>
      <c r="H252" s="3" t="s">
        <v>98</v>
      </c>
      <c r="I252" s="3" t="s">
        <v>30</v>
      </c>
      <c r="J252" s="3" t="s">
        <v>31</v>
      </c>
      <c r="K252" s="3" t="s">
        <v>32</v>
      </c>
      <c r="L252" s="3" t="s">
        <v>33</v>
      </c>
      <c r="M252">
        <v>100</v>
      </c>
      <c r="N252">
        <v>36</v>
      </c>
      <c r="O252">
        <v>60</v>
      </c>
      <c r="P252">
        <v>16</v>
      </c>
      <c r="Q252" s="3" t="s">
        <v>41</v>
      </c>
      <c r="R252">
        <v>75</v>
      </c>
      <c r="S252">
        <v>68</v>
      </c>
      <c r="T252">
        <v>7</v>
      </c>
      <c r="U252" s="3" t="s">
        <v>42</v>
      </c>
      <c r="V252" s="3" t="s">
        <v>43</v>
      </c>
      <c r="W252">
        <v>50</v>
      </c>
      <c r="X252">
        <v>350</v>
      </c>
      <c r="Y252">
        <v>44</v>
      </c>
      <c r="Z252" s="4">
        <v>0.73333333333333295</v>
      </c>
      <c r="AA252" s="4">
        <v>1.02272727272727</v>
      </c>
      <c r="AB252" s="4">
        <v>0.90666666666666595</v>
      </c>
      <c r="AC252" s="4">
        <v>0.67999999999999705</v>
      </c>
      <c r="AD252" s="6">
        <v>1333.3333</v>
      </c>
      <c r="AE252" s="5">
        <v>3400</v>
      </c>
      <c r="AF252">
        <v>1683.3333</v>
      </c>
      <c r="AG252"/>
      <c r="AH252"/>
      <c r="AI252"/>
      <c r="AJ252"/>
    </row>
    <row r="253" spans="1:36" x14ac:dyDescent="0.25">
      <c r="A253">
        <v>252</v>
      </c>
      <c r="B253" s="1">
        <v>46046</v>
      </c>
      <c r="C253" s="1">
        <v>46046</v>
      </c>
      <c r="D253" s="2">
        <v>0.45833333333333331</v>
      </c>
      <c r="E253" s="2">
        <v>0.5</v>
      </c>
      <c r="F253" s="3" t="s">
        <v>27</v>
      </c>
      <c r="G253" s="3" t="s">
        <v>326</v>
      </c>
      <c r="H253" s="3" t="s">
        <v>80</v>
      </c>
      <c r="I253" s="3" t="s">
        <v>45</v>
      </c>
      <c r="J253" s="3" t="s">
        <v>46</v>
      </c>
      <c r="K253" s="3" t="s">
        <v>47</v>
      </c>
      <c r="L253" s="3" t="s">
        <v>33</v>
      </c>
      <c r="M253">
        <v>120</v>
      </c>
      <c r="N253">
        <v>30</v>
      </c>
      <c r="O253">
        <v>60</v>
      </c>
      <c r="P253">
        <v>2</v>
      </c>
      <c r="Q253" s="3" t="s">
        <v>48</v>
      </c>
      <c r="R253">
        <v>100</v>
      </c>
      <c r="S253">
        <v>94</v>
      </c>
      <c r="T253">
        <v>6</v>
      </c>
      <c r="U253" s="3" t="s">
        <v>49</v>
      </c>
      <c r="V253" s="3" t="s">
        <v>50</v>
      </c>
      <c r="W253">
        <v>80</v>
      </c>
      <c r="X253">
        <v>480</v>
      </c>
      <c r="Y253">
        <v>58</v>
      </c>
      <c r="Z253" s="4">
        <v>0.96666666666666701</v>
      </c>
      <c r="AA253" s="4">
        <v>0.86206896551724099</v>
      </c>
      <c r="AB253" s="4">
        <v>0.94</v>
      </c>
      <c r="AC253" s="4">
        <v>0.78333333333333299</v>
      </c>
      <c r="AD253" s="6">
        <v>320</v>
      </c>
      <c r="AE253" s="5">
        <v>7520</v>
      </c>
      <c r="AF253">
        <v>800</v>
      </c>
      <c r="AG253"/>
      <c r="AH253"/>
      <c r="AI253"/>
      <c r="AJ253"/>
    </row>
    <row r="254" spans="1:36" x14ac:dyDescent="0.25">
      <c r="A254">
        <v>253</v>
      </c>
      <c r="B254" s="1">
        <v>46046</v>
      </c>
      <c r="C254" s="1">
        <v>46046</v>
      </c>
      <c r="D254" s="2">
        <v>0.5</v>
      </c>
      <c r="E254" s="2">
        <v>0.54166666666666663</v>
      </c>
      <c r="F254" s="3" t="s">
        <v>56</v>
      </c>
      <c r="G254" s="3" t="s">
        <v>327</v>
      </c>
      <c r="H254" s="3" t="s">
        <v>58</v>
      </c>
      <c r="I254" s="3" t="s">
        <v>59</v>
      </c>
      <c r="J254" s="3" t="s">
        <v>60</v>
      </c>
      <c r="K254" s="3" t="s">
        <v>61</v>
      </c>
      <c r="L254" s="3" t="s">
        <v>62</v>
      </c>
      <c r="M254">
        <v>80</v>
      </c>
      <c r="N254">
        <v>45</v>
      </c>
      <c r="O254">
        <v>60</v>
      </c>
      <c r="P254">
        <v>12</v>
      </c>
      <c r="Q254" s="3" t="s">
        <v>34</v>
      </c>
      <c r="R254">
        <v>69</v>
      </c>
      <c r="S254">
        <v>69</v>
      </c>
      <c r="T254">
        <v>0</v>
      </c>
      <c r="U254" s="3" t="s">
        <v>63</v>
      </c>
      <c r="V254" s="3" t="s">
        <v>64</v>
      </c>
      <c r="W254">
        <v>120</v>
      </c>
      <c r="X254">
        <v>0</v>
      </c>
      <c r="Y254">
        <v>48</v>
      </c>
      <c r="Z254" s="4">
        <v>0.8</v>
      </c>
      <c r="AA254" s="4">
        <v>1.078125</v>
      </c>
      <c r="AB254" s="4">
        <v>1</v>
      </c>
      <c r="AC254" s="4">
        <v>0.86250000000000004</v>
      </c>
      <c r="AD254" s="6">
        <v>1920</v>
      </c>
      <c r="AE254" s="5">
        <v>8280</v>
      </c>
      <c r="AF254">
        <v>1920</v>
      </c>
      <c r="AG254"/>
      <c r="AH254"/>
      <c r="AI254"/>
      <c r="AJ254"/>
    </row>
    <row r="255" spans="1:36" x14ac:dyDescent="0.25">
      <c r="A255">
        <v>254</v>
      </c>
      <c r="B255" s="1">
        <v>46046</v>
      </c>
      <c r="C255" s="1">
        <v>46046</v>
      </c>
      <c r="D255" s="2">
        <v>0.54166666666666663</v>
      </c>
      <c r="E255" s="2">
        <v>0.58333333333333337</v>
      </c>
      <c r="F255" s="3" t="s">
        <v>56</v>
      </c>
      <c r="G255" s="3" t="s">
        <v>328</v>
      </c>
      <c r="H255" s="3" t="s">
        <v>38</v>
      </c>
      <c r="I255" s="3" t="s">
        <v>59</v>
      </c>
      <c r="J255" s="3" t="s">
        <v>60</v>
      </c>
      <c r="K255" s="3" t="s">
        <v>61</v>
      </c>
      <c r="L255" s="3" t="s">
        <v>62</v>
      </c>
      <c r="M255">
        <v>80</v>
      </c>
      <c r="N255">
        <v>45</v>
      </c>
      <c r="O255">
        <v>60</v>
      </c>
      <c r="P255">
        <v>31</v>
      </c>
      <c r="Q255" s="3" t="s">
        <v>68</v>
      </c>
      <c r="R255">
        <v>48</v>
      </c>
      <c r="S255">
        <v>0</v>
      </c>
      <c r="T255">
        <v>48</v>
      </c>
      <c r="U255" s="3" t="s">
        <v>69</v>
      </c>
      <c r="V255" s="3" t="s">
        <v>70</v>
      </c>
      <c r="W255">
        <v>120</v>
      </c>
      <c r="X255">
        <v>5760</v>
      </c>
      <c r="Y255">
        <v>29</v>
      </c>
      <c r="Z255" s="4">
        <v>0.483333333333333</v>
      </c>
      <c r="AA255" s="4">
        <v>1.2413793103448301</v>
      </c>
      <c r="AB255" s="4">
        <v>0</v>
      </c>
      <c r="AC255" s="4">
        <v>0</v>
      </c>
      <c r="AD255" s="6">
        <v>4960</v>
      </c>
      <c r="AE255" s="5">
        <v>0</v>
      </c>
      <c r="AF255">
        <v>10720</v>
      </c>
      <c r="AG255"/>
      <c r="AH255"/>
      <c r="AI255"/>
      <c r="AJ255"/>
    </row>
    <row r="256" spans="1:36" x14ac:dyDescent="0.25">
      <c r="A256">
        <v>255</v>
      </c>
      <c r="B256" s="1">
        <v>46046</v>
      </c>
      <c r="C256" s="1">
        <v>46046</v>
      </c>
      <c r="D256" s="2">
        <v>0.58333333333333337</v>
      </c>
      <c r="E256" s="2">
        <v>0.625</v>
      </c>
      <c r="F256" s="3" t="s">
        <v>56</v>
      </c>
      <c r="G256" s="3" t="s">
        <v>329</v>
      </c>
      <c r="H256" s="3" t="s">
        <v>117</v>
      </c>
      <c r="I256" s="3" t="s">
        <v>30</v>
      </c>
      <c r="J256" s="3" t="s">
        <v>31</v>
      </c>
      <c r="K256" s="3" t="s">
        <v>32</v>
      </c>
      <c r="L256" s="3" t="s">
        <v>33</v>
      </c>
      <c r="M256">
        <v>100</v>
      </c>
      <c r="N256">
        <v>36</v>
      </c>
      <c r="O256">
        <v>60</v>
      </c>
      <c r="P256">
        <v>9</v>
      </c>
      <c r="Q256" s="3" t="s">
        <v>34</v>
      </c>
      <c r="R256">
        <v>83</v>
      </c>
      <c r="S256">
        <v>81</v>
      </c>
      <c r="T256">
        <v>2</v>
      </c>
      <c r="U256" s="3" t="s">
        <v>72</v>
      </c>
      <c r="V256" s="3" t="s">
        <v>73</v>
      </c>
      <c r="W256">
        <v>50</v>
      </c>
      <c r="X256">
        <v>100</v>
      </c>
      <c r="Y256">
        <v>51</v>
      </c>
      <c r="Z256" s="4">
        <v>0.85</v>
      </c>
      <c r="AA256" s="4">
        <v>0.97647058823529398</v>
      </c>
      <c r="AB256" s="4">
        <v>0.97590361445783103</v>
      </c>
      <c r="AC256" s="4">
        <v>0.81</v>
      </c>
      <c r="AD256" s="6">
        <v>750</v>
      </c>
      <c r="AE256" s="5">
        <v>4050</v>
      </c>
      <c r="AF256">
        <v>850</v>
      </c>
      <c r="AG256"/>
      <c r="AH256"/>
      <c r="AI256"/>
      <c r="AJ256"/>
    </row>
    <row r="257" spans="1:36" x14ac:dyDescent="0.25">
      <c r="A257">
        <v>256</v>
      </c>
      <c r="B257" s="1">
        <v>46046</v>
      </c>
      <c r="C257" s="1">
        <v>46046</v>
      </c>
      <c r="D257" s="2">
        <v>0.625</v>
      </c>
      <c r="E257" s="2">
        <v>0.66666666666666663</v>
      </c>
      <c r="F257" s="3" t="s">
        <v>56</v>
      </c>
      <c r="G257" s="3" t="s">
        <v>330</v>
      </c>
      <c r="H257" s="3" t="s">
        <v>38</v>
      </c>
      <c r="I257" s="3" t="s">
        <v>30</v>
      </c>
      <c r="J257" s="3" t="s">
        <v>31</v>
      </c>
      <c r="K257" s="3" t="s">
        <v>32</v>
      </c>
      <c r="L257" s="3" t="s">
        <v>33</v>
      </c>
      <c r="M257">
        <v>100</v>
      </c>
      <c r="N257">
        <v>36</v>
      </c>
      <c r="O257">
        <v>60</v>
      </c>
      <c r="P257">
        <v>3</v>
      </c>
      <c r="Q257" s="3" t="s">
        <v>78</v>
      </c>
      <c r="R257">
        <v>99</v>
      </c>
      <c r="S257">
        <v>99</v>
      </c>
      <c r="T257">
        <v>0</v>
      </c>
      <c r="U257" s="3" t="s">
        <v>75</v>
      </c>
      <c r="V257" s="3" t="s">
        <v>76</v>
      </c>
      <c r="W257">
        <v>50</v>
      </c>
      <c r="X257">
        <v>0</v>
      </c>
      <c r="Y257">
        <v>57</v>
      </c>
      <c r="Z257" s="4">
        <v>0.95</v>
      </c>
      <c r="AA257" s="4">
        <v>1.04210526315789</v>
      </c>
      <c r="AB257" s="4">
        <v>1</v>
      </c>
      <c r="AC257" s="4">
        <v>0.98999999999999599</v>
      </c>
      <c r="AD257" s="6">
        <v>250</v>
      </c>
      <c r="AE257" s="5">
        <v>4950</v>
      </c>
      <c r="AF257">
        <v>250</v>
      </c>
      <c r="AG257"/>
      <c r="AH257"/>
      <c r="AI257"/>
      <c r="AJ257"/>
    </row>
    <row r="258" spans="1:36" x14ac:dyDescent="0.25">
      <c r="A258">
        <v>257</v>
      </c>
      <c r="B258" s="1">
        <v>46047</v>
      </c>
      <c r="C258" s="1">
        <v>46047</v>
      </c>
      <c r="D258" s="2">
        <v>0.29166666666666669</v>
      </c>
      <c r="E258" s="2">
        <v>0.33333333333333331</v>
      </c>
      <c r="F258" s="3" t="s">
        <v>27</v>
      </c>
      <c r="G258" s="3" t="s">
        <v>331</v>
      </c>
      <c r="H258" s="3" t="s">
        <v>38</v>
      </c>
      <c r="I258" s="3" t="s">
        <v>30</v>
      </c>
      <c r="J258" s="3" t="s">
        <v>31</v>
      </c>
      <c r="K258" s="3" t="s">
        <v>32</v>
      </c>
      <c r="L258" s="3" t="s">
        <v>33</v>
      </c>
      <c r="M258">
        <v>100</v>
      </c>
      <c r="N258">
        <v>36</v>
      </c>
      <c r="O258">
        <v>60</v>
      </c>
      <c r="P258">
        <v>8</v>
      </c>
      <c r="Q258" s="3" t="s">
        <v>34</v>
      </c>
      <c r="R258">
        <v>82</v>
      </c>
      <c r="S258">
        <v>80</v>
      </c>
      <c r="T258">
        <v>2</v>
      </c>
      <c r="U258" s="3" t="s">
        <v>35</v>
      </c>
      <c r="V258" s="3" t="s">
        <v>36</v>
      </c>
      <c r="W258">
        <v>50</v>
      </c>
      <c r="X258">
        <v>100</v>
      </c>
      <c r="Y258">
        <v>52</v>
      </c>
      <c r="Z258" s="4">
        <v>0.86666666666666703</v>
      </c>
      <c r="AA258" s="4">
        <v>0.94615384615384601</v>
      </c>
      <c r="AB258" s="4">
        <v>0.97560975609756095</v>
      </c>
      <c r="AC258" s="4">
        <v>0.8</v>
      </c>
      <c r="AD258" s="6">
        <v>666.66669999999999</v>
      </c>
      <c r="AE258" s="5">
        <v>4000</v>
      </c>
      <c r="AF258">
        <v>766.66669999999999</v>
      </c>
      <c r="AG258"/>
      <c r="AH258"/>
      <c r="AI258"/>
      <c r="AJ258"/>
    </row>
    <row r="259" spans="1:36" x14ac:dyDescent="0.25">
      <c r="A259">
        <v>258</v>
      </c>
      <c r="B259" s="1">
        <v>46047</v>
      </c>
      <c r="C259" s="1">
        <v>46047</v>
      </c>
      <c r="D259" s="2">
        <v>0.33333333333333331</v>
      </c>
      <c r="E259" s="2">
        <v>0.375</v>
      </c>
      <c r="F259" s="3" t="s">
        <v>27</v>
      </c>
      <c r="G259" s="3" t="s">
        <v>332</v>
      </c>
      <c r="H259" s="3" t="s">
        <v>91</v>
      </c>
      <c r="I259" s="3" t="s">
        <v>30</v>
      </c>
      <c r="J259" s="3" t="s">
        <v>31</v>
      </c>
      <c r="K259" s="3" t="s">
        <v>32</v>
      </c>
      <c r="L259" s="3" t="s">
        <v>33</v>
      </c>
      <c r="M259">
        <v>100</v>
      </c>
      <c r="N259">
        <v>36</v>
      </c>
      <c r="O259">
        <v>60</v>
      </c>
      <c r="P259">
        <v>0</v>
      </c>
      <c r="Q259" s="3" t="s">
        <v>39</v>
      </c>
      <c r="R259">
        <v>100</v>
      </c>
      <c r="S259">
        <v>99</v>
      </c>
      <c r="T259">
        <v>1</v>
      </c>
      <c r="U259" s="3" t="s">
        <v>35</v>
      </c>
      <c r="V259" s="3" t="s">
        <v>36</v>
      </c>
      <c r="W259">
        <v>50</v>
      </c>
      <c r="X259">
        <v>50</v>
      </c>
      <c r="Y259">
        <v>60</v>
      </c>
      <c r="Z259" s="4">
        <v>1</v>
      </c>
      <c r="AA259" s="4">
        <v>1</v>
      </c>
      <c r="AB259" s="4">
        <v>0.99</v>
      </c>
      <c r="AC259" s="4">
        <v>0.99</v>
      </c>
      <c r="AD259" s="6">
        <v>0</v>
      </c>
      <c r="AE259" s="5">
        <v>4950</v>
      </c>
      <c r="AF259">
        <v>50</v>
      </c>
      <c r="AG259"/>
      <c r="AH259"/>
      <c r="AI259"/>
      <c r="AJ259"/>
    </row>
    <row r="260" spans="1:36" x14ac:dyDescent="0.25">
      <c r="A260">
        <v>259</v>
      </c>
      <c r="B260" s="1">
        <v>46047</v>
      </c>
      <c r="C260" s="1">
        <v>46047</v>
      </c>
      <c r="D260" s="2">
        <v>0.375</v>
      </c>
      <c r="E260" s="2">
        <v>0.41666666666666669</v>
      </c>
      <c r="F260" s="3" t="s">
        <v>27</v>
      </c>
      <c r="G260" s="3" t="s">
        <v>333</v>
      </c>
      <c r="H260" s="3" t="s">
        <v>98</v>
      </c>
      <c r="I260" s="3" t="s">
        <v>30</v>
      </c>
      <c r="J260" s="3" t="s">
        <v>31</v>
      </c>
      <c r="K260" s="3" t="s">
        <v>32</v>
      </c>
      <c r="L260" s="3" t="s">
        <v>33</v>
      </c>
      <c r="M260">
        <v>100</v>
      </c>
      <c r="N260">
        <v>36</v>
      </c>
      <c r="O260">
        <v>60</v>
      </c>
      <c r="P260">
        <v>15</v>
      </c>
      <c r="Q260" s="3" t="s">
        <v>41</v>
      </c>
      <c r="R260">
        <v>72</v>
      </c>
      <c r="S260">
        <v>67</v>
      </c>
      <c r="T260">
        <v>5</v>
      </c>
      <c r="U260" s="3" t="s">
        <v>42</v>
      </c>
      <c r="V260" s="3" t="s">
        <v>43</v>
      </c>
      <c r="W260">
        <v>50</v>
      </c>
      <c r="X260">
        <v>250</v>
      </c>
      <c r="Y260">
        <v>45</v>
      </c>
      <c r="Z260" s="4">
        <v>0.75</v>
      </c>
      <c r="AA260" s="4">
        <v>0.96</v>
      </c>
      <c r="AB260" s="4">
        <v>0.93055555555555602</v>
      </c>
      <c r="AC260" s="4">
        <v>0.67</v>
      </c>
      <c r="AD260" s="6">
        <v>1250</v>
      </c>
      <c r="AE260" s="5">
        <v>3350</v>
      </c>
      <c r="AF260">
        <v>1500</v>
      </c>
      <c r="AG260"/>
      <c r="AH260"/>
      <c r="AI260"/>
      <c r="AJ260"/>
    </row>
    <row r="261" spans="1:36" x14ac:dyDescent="0.25">
      <c r="A261">
        <v>260</v>
      </c>
      <c r="B261" s="1">
        <v>46047</v>
      </c>
      <c r="C261" s="1">
        <v>46047</v>
      </c>
      <c r="D261" s="2">
        <v>0.41666666666666669</v>
      </c>
      <c r="E261" s="2">
        <v>0.45833333333333331</v>
      </c>
      <c r="F261" s="3" t="s">
        <v>27</v>
      </c>
      <c r="G261" s="3" t="s">
        <v>334</v>
      </c>
      <c r="H261" s="3" t="s">
        <v>67</v>
      </c>
      <c r="I261" s="3" t="s">
        <v>45</v>
      </c>
      <c r="J261" s="3" t="s">
        <v>46</v>
      </c>
      <c r="K261" s="3" t="s">
        <v>47</v>
      </c>
      <c r="L261" s="3" t="s">
        <v>33</v>
      </c>
      <c r="M261">
        <v>120</v>
      </c>
      <c r="N261">
        <v>30</v>
      </c>
      <c r="O261">
        <v>60</v>
      </c>
      <c r="P261">
        <v>1</v>
      </c>
      <c r="Q261" s="3" t="s">
        <v>48</v>
      </c>
      <c r="R261">
        <v>121</v>
      </c>
      <c r="S261">
        <v>118</v>
      </c>
      <c r="T261">
        <v>3</v>
      </c>
      <c r="U261" s="3" t="s">
        <v>49</v>
      </c>
      <c r="V261" s="3" t="s">
        <v>50</v>
      </c>
      <c r="W261">
        <v>80</v>
      </c>
      <c r="X261">
        <v>240</v>
      </c>
      <c r="Y261">
        <v>59</v>
      </c>
      <c r="Z261" s="4">
        <v>0.98333333333333295</v>
      </c>
      <c r="AA261" s="4">
        <v>1.0254237288135599</v>
      </c>
      <c r="AB261" s="4">
        <v>0.97520661157024802</v>
      </c>
      <c r="AC261" s="4">
        <v>0.98333333333333395</v>
      </c>
      <c r="AD261" s="6">
        <v>160</v>
      </c>
      <c r="AE261" s="5">
        <v>9440</v>
      </c>
      <c r="AF261">
        <v>400</v>
      </c>
      <c r="AG261"/>
      <c r="AH261"/>
      <c r="AI261"/>
      <c r="AJ261"/>
    </row>
    <row r="262" spans="1:36" x14ac:dyDescent="0.25">
      <c r="A262">
        <v>261</v>
      </c>
      <c r="B262" s="1">
        <v>46047</v>
      </c>
      <c r="C262" s="1">
        <v>46047</v>
      </c>
      <c r="D262" s="2">
        <v>0.45833333333333331</v>
      </c>
      <c r="E262" s="2">
        <v>0.5</v>
      </c>
      <c r="F262" s="3" t="s">
        <v>27</v>
      </c>
      <c r="G262" s="3" t="s">
        <v>335</v>
      </c>
      <c r="H262" s="3" t="s">
        <v>80</v>
      </c>
      <c r="I262" s="3" t="s">
        <v>45</v>
      </c>
      <c r="J262" s="3" t="s">
        <v>46</v>
      </c>
      <c r="K262" s="3" t="s">
        <v>47</v>
      </c>
      <c r="L262" s="3" t="s">
        <v>33</v>
      </c>
      <c r="M262">
        <v>120</v>
      </c>
      <c r="N262">
        <v>30</v>
      </c>
      <c r="O262">
        <v>60</v>
      </c>
      <c r="P262">
        <v>0</v>
      </c>
      <c r="Q262" s="3" t="s">
        <v>39</v>
      </c>
      <c r="R262">
        <v>111</v>
      </c>
      <c r="S262">
        <v>111</v>
      </c>
      <c r="T262">
        <v>0</v>
      </c>
      <c r="U262" s="3" t="s">
        <v>49</v>
      </c>
      <c r="V262" s="3" t="s">
        <v>50</v>
      </c>
      <c r="W262">
        <v>80</v>
      </c>
      <c r="X262">
        <v>0</v>
      </c>
      <c r="Y262">
        <v>60</v>
      </c>
      <c r="Z262" s="4">
        <v>1</v>
      </c>
      <c r="AA262" s="4">
        <v>0.92500000000000004</v>
      </c>
      <c r="AB262" s="4">
        <v>1</v>
      </c>
      <c r="AC262" s="4">
        <v>0.92500000000000004</v>
      </c>
      <c r="AD262" s="6">
        <v>0</v>
      </c>
      <c r="AE262" s="5">
        <v>8880</v>
      </c>
      <c r="AF262">
        <v>0</v>
      </c>
      <c r="AG262"/>
      <c r="AH262"/>
      <c r="AI262"/>
      <c r="AJ262"/>
    </row>
    <row r="263" spans="1:36" x14ac:dyDescent="0.25">
      <c r="A263">
        <v>262</v>
      </c>
      <c r="B263" s="1">
        <v>46047</v>
      </c>
      <c r="C263" s="1">
        <v>46047</v>
      </c>
      <c r="D263" s="2">
        <v>0.5</v>
      </c>
      <c r="E263" s="2">
        <v>0.54166666666666663</v>
      </c>
      <c r="F263" s="3" t="s">
        <v>27</v>
      </c>
      <c r="G263" s="3" t="s">
        <v>336</v>
      </c>
      <c r="H263" s="3" t="s">
        <v>80</v>
      </c>
      <c r="I263" s="3" t="s">
        <v>45</v>
      </c>
      <c r="J263" s="3" t="s">
        <v>46</v>
      </c>
      <c r="K263" s="3" t="s">
        <v>47</v>
      </c>
      <c r="L263" s="3" t="s">
        <v>33</v>
      </c>
      <c r="M263">
        <v>120</v>
      </c>
      <c r="N263">
        <v>30</v>
      </c>
      <c r="O263">
        <v>60</v>
      </c>
      <c r="P263">
        <v>4</v>
      </c>
      <c r="Q263" s="3" t="s">
        <v>53</v>
      </c>
      <c r="R263">
        <v>99</v>
      </c>
      <c r="S263">
        <v>94</v>
      </c>
      <c r="T263">
        <v>5</v>
      </c>
      <c r="U263" s="3" t="s">
        <v>54</v>
      </c>
      <c r="V263" s="3" t="s">
        <v>55</v>
      </c>
      <c r="W263">
        <v>80</v>
      </c>
      <c r="X263">
        <v>400</v>
      </c>
      <c r="Y263">
        <v>56</v>
      </c>
      <c r="Z263" s="4">
        <v>0.93333333333333302</v>
      </c>
      <c r="AA263" s="4">
        <v>0.88392857142857095</v>
      </c>
      <c r="AB263" s="4">
        <v>0.94949494949494995</v>
      </c>
      <c r="AC263" s="4">
        <v>0.78333333333333299</v>
      </c>
      <c r="AD263" s="6">
        <v>640</v>
      </c>
      <c r="AE263" s="5">
        <v>7520</v>
      </c>
      <c r="AF263">
        <v>1040</v>
      </c>
      <c r="AG263"/>
      <c r="AH263"/>
      <c r="AI263"/>
      <c r="AJ263"/>
    </row>
    <row r="264" spans="1:36" x14ac:dyDescent="0.25">
      <c r="A264">
        <v>263</v>
      </c>
      <c r="B264" s="1">
        <v>46047</v>
      </c>
      <c r="C264" s="1">
        <v>46047</v>
      </c>
      <c r="D264" s="2">
        <v>0.54166666666666663</v>
      </c>
      <c r="E264" s="2">
        <v>0.58333333333333337</v>
      </c>
      <c r="F264" s="3" t="s">
        <v>56</v>
      </c>
      <c r="G264" s="3" t="s">
        <v>337</v>
      </c>
      <c r="H264" s="3" t="s">
        <v>67</v>
      </c>
      <c r="I264" s="3" t="s">
        <v>59</v>
      </c>
      <c r="J264" s="3" t="s">
        <v>60</v>
      </c>
      <c r="K264" s="3" t="s">
        <v>61</v>
      </c>
      <c r="L264" s="3" t="s">
        <v>62</v>
      </c>
      <c r="M264">
        <v>80</v>
      </c>
      <c r="N264">
        <v>45</v>
      </c>
      <c r="O264">
        <v>60</v>
      </c>
      <c r="P264">
        <v>8</v>
      </c>
      <c r="Q264" s="3" t="s">
        <v>34</v>
      </c>
      <c r="R264">
        <v>77</v>
      </c>
      <c r="S264">
        <v>77</v>
      </c>
      <c r="T264">
        <v>0</v>
      </c>
      <c r="U264" s="3" t="s">
        <v>63</v>
      </c>
      <c r="V264" s="3" t="s">
        <v>64</v>
      </c>
      <c r="W264">
        <v>120</v>
      </c>
      <c r="X264">
        <v>0</v>
      </c>
      <c r="Y264">
        <v>52</v>
      </c>
      <c r="Z264" s="4">
        <v>0.86666666666666703</v>
      </c>
      <c r="AA264" s="4">
        <v>1.11057692307692</v>
      </c>
      <c r="AB264" s="4">
        <v>1</v>
      </c>
      <c r="AC264" s="4">
        <v>0.96249999999999802</v>
      </c>
      <c r="AD264" s="6">
        <v>1280</v>
      </c>
      <c r="AE264" s="5">
        <v>9240</v>
      </c>
      <c r="AF264">
        <v>1280</v>
      </c>
      <c r="AG264"/>
      <c r="AH264"/>
      <c r="AI264"/>
      <c r="AJ264"/>
    </row>
    <row r="265" spans="1:36" x14ac:dyDescent="0.25">
      <c r="A265">
        <v>264</v>
      </c>
      <c r="B265" s="1">
        <v>46047</v>
      </c>
      <c r="C265" s="1">
        <v>46047</v>
      </c>
      <c r="D265" s="2">
        <v>0.58333333333333337</v>
      </c>
      <c r="E265" s="2">
        <v>0.625</v>
      </c>
      <c r="F265" s="3" t="s">
        <v>56</v>
      </c>
      <c r="G265" s="3" t="s">
        <v>338</v>
      </c>
      <c r="H265" s="3" t="s">
        <v>58</v>
      </c>
      <c r="I265" s="3" t="s">
        <v>59</v>
      </c>
      <c r="J265" s="3" t="s">
        <v>60</v>
      </c>
      <c r="K265" s="3" t="s">
        <v>61</v>
      </c>
      <c r="L265" s="3" t="s">
        <v>62</v>
      </c>
      <c r="M265">
        <v>80</v>
      </c>
      <c r="N265">
        <v>45</v>
      </c>
      <c r="O265">
        <v>60</v>
      </c>
      <c r="P265">
        <v>0</v>
      </c>
      <c r="Q265" s="3" t="s">
        <v>39</v>
      </c>
      <c r="R265">
        <v>79</v>
      </c>
      <c r="S265">
        <v>75</v>
      </c>
      <c r="T265">
        <v>4</v>
      </c>
      <c r="U265" s="3" t="s">
        <v>63</v>
      </c>
      <c r="V265" s="3" t="s">
        <v>64</v>
      </c>
      <c r="W265">
        <v>120</v>
      </c>
      <c r="X265">
        <v>480</v>
      </c>
      <c r="Y265">
        <v>60</v>
      </c>
      <c r="Z265" s="4">
        <v>1</v>
      </c>
      <c r="AA265" s="4">
        <v>0.98750000000000004</v>
      </c>
      <c r="AB265" s="4">
        <v>0.949367088607595</v>
      </c>
      <c r="AC265" s="4">
        <v>0.9375</v>
      </c>
      <c r="AD265" s="6">
        <v>0</v>
      </c>
      <c r="AE265" s="5">
        <v>9000</v>
      </c>
      <c r="AF265">
        <v>480</v>
      </c>
      <c r="AG265"/>
      <c r="AH265"/>
      <c r="AI265"/>
      <c r="AJ265"/>
    </row>
    <row r="266" spans="1:36" x14ac:dyDescent="0.25">
      <c r="A266">
        <v>265</v>
      </c>
      <c r="B266" s="1">
        <v>46047</v>
      </c>
      <c r="C266" s="1">
        <v>46047</v>
      </c>
      <c r="D266" s="2">
        <v>0.625</v>
      </c>
      <c r="E266" s="2">
        <v>0.66666666666666663</v>
      </c>
      <c r="F266" s="3" t="s">
        <v>56</v>
      </c>
      <c r="G266" s="3" t="s">
        <v>339</v>
      </c>
      <c r="H266" s="3" t="s">
        <v>91</v>
      </c>
      <c r="I266" s="3" t="s">
        <v>59</v>
      </c>
      <c r="J266" s="3" t="s">
        <v>60</v>
      </c>
      <c r="K266" s="3" t="s">
        <v>61</v>
      </c>
      <c r="L266" s="3" t="s">
        <v>62</v>
      </c>
      <c r="M266">
        <v>80</v>
      </c>
      <c r="N266">
        <v>45</v>
      </c>
      <c r="O266">
        <v>60</v>
      </c>
      <c r="P266">
        <v>39</v>
      </c>
      <c r="Q266" s="3" t="s">
        <v>68</v>
      </c>
      <c r="R266">
        <v>53</v>
      </c>
      <c r="S266">
        <v>0</v>
      </c>
      <c r="T266">
        <v>53</v>
      </c>
      <c r="U266" s="3" t="s">
        <v>69</v>
      </c>
      <c r="V266" s="3" t="s">
        <v>70</v>
      </c>
      <c r="W266">
        <v>120</v>
      </c>
      <c r="X266">
        <v>6360</v>
      </c>
      <c r="Y266">
        <v>21</v>
      </c>
      <c r="Z266" s="4">
        <v>0.35</v>
      </c>
      <c r="AA266" s="4">
        <v>1.8928571428571399</v>
      </c>
      <c r="AB266" s="4">
        <v>0</v>
      </c>
      <c r="AC266" s="4">
        <v>0</v>
      </c>
      <c r="AD266" s="6">
        <v>6240</v>
      </c>
      <c r="AE266" s="5">
        <v>0</v>
      </c>
      <c r="AF266">
        <v>12600</v>
      </c>
      <c r="AG266"/>
      <c r="AH266"/>
      <c r="AI266"/>
      <c r="AJ266"/>
    </row>
    <row r="267" spans="1:36" x14ac:dyDescent="0.25">
      <c r="A267">
        <v>266</v>
      </c>
      <c r="B267" s="1">
        <v>46047</v>
      </c>
      <c r="C267" s="1">
        <v>46047</v>
      </c>
      <c r="D267" s="2">
        <v>0.66666666666666663</v>
      </c>
      <c r="E267" s="2">
        <v>0.70833333333333337</v>
      </c>
      <c r="F267" s="3" t="s">
        <v>56</v>
      </c>
      <c r="G267" s="3" t="s">
        <v>340</v>
      </c>
      <c r="H267" s="3" t="s">
        <v>67</v>
      </c>
      <c r="I267" s="3" t="s">
        <v>30</v>
      </c>
      <c r="J267" s="3" t="s">
        <v>31</v>
      </c>
      <c r="K267" s="3" t="s">
        <v>32</v>
      </c>
      <c r="L267" s="3" t="s">
        <v>33</v>
      </c>
      <c r="M267">
        <v>100</v>
      </c>
      <c r="N267">
        <v>36</v>
      </c>
      <c r="O267">
        <v>60</v>
      </c>
      <c r="P267">
        <v>7</v>
      </c>
      <c r="Q267" s="3" t="s">
        <v>34</v>
      </c>
      <c r="R267">
        <v>91</v>
      </c>
      <c r="S267">
        <v>88</v>
      </c>
      <c r="T267">
        <v>3</v>
      </c>
      <c r="U267" s="3" t="s">
        <v>72</v>
      </c>
      <c r="V267" s="3" t="s">
        <v>73</v>
      </c>
      <c r="W267">
        <v>50</v>
      </c>
      <c r="X267">
        <v>150</v>
      </c>
      <c r="Y267">
        <v>53</v>
      </c>
      <c r="Z267" s="4">
        <v>0.88333333333333297</v>
      </c>
      <c r="AA267" s="4">
        <v>1.0301886792452799</v>
      </c>
      <c r="AB267" s="4">
        <v>0.96703296703296704</v>
      </c>
      <c r="AC267" s="4">
        <v>0.87999999999999701</v>
      </c>
      <c r="AD267" s="6">
        <v>583.33330000000001</v>
      </c>
      <c r="AE267" s="5">
        <v>4400</v>
      </c>
      <c r="AF267">
        <v>733.33330000000001</v>
      </c>
      <c r="AG267"/>
      <c r="AH267"/>
      <c r="AI267"/>
      <c r="AJ267"/>
    </row>
    <row r="268" spans="1:36" x14ac:dyDescent="0.25">
      <c r="A268">
        <v>267</v>
      </c>
      <c r="B268" s="1">
        <v>46047</v>
      </c>
      <c r="C268" s="1">
        <v>46047</v>
      </c>
      <c r="D268" s="2">
        <v>0.70833333333333337</v>
      </c>
      <c r="E268" s="2">
        <v>0.75</v>
      </c>
      <c r="F268" s="3" t="s">
        <v>56</v>
      </c>
      <c r="G268" s="3" t="s">
        <v>341</v>
      </c>
      <c r="H268" s="3" t="s">
        <v>67</v>
      </c>
      <c r="I268" s="3" t="s">
        <v>30</v>
      </c>
      <c r="J268" s="3" t="s">
        <v>31</v>
      </c>
      <c r="K268" s="3" t="s">
        <v>32</v>
      </c>
      <c r="L268" s="3" t="s">
        <v>33</v>
      </c>
      <c r="M268">
        <v>100</v>
      </c>
      <c r="N268">
        <v>36</v>
      </c>
      <c r="O268">
        <v>60</v>
      </c>
      <c r="P268">
        <v>0</v>
      </c>
      <c r="Q268" s="3" t="s">
        <v>39</v>
      </c>
      <c r="R268">
        <v>103</v>
      </c>
      <c r="S268">
        <v>102</v>
      </c>
      <c r="T268">
        <v>1</v>
      </c>
      <c r="U268" s="3" t="s">
        <v>75</v>
      </c>
      <c r="V268" s="3" t="s">
        <v>76</v>
      </c>
      <c r="W268">
        <v>50</v>
      </c>
      <c r="X268">
        <v>50</v>
      </c>
      <c r="Y268">
        <v>60</v>
      </c>
      <c r="Z268" s="4">
        <v>1</v>
      </c>
      <c r="AA268" s="4">
        <v>1.03</v>
      </c>
      <c r="AB268" s="4">
        <v>0.990291262135922</v>
      </c>
      <c r="AC268" s="4">
        <v>1.02</v>
      </c>
      <c r="AD268" s="6">
        <v>0</v>
      </c>
      <c r="AE268" s="5">
        <v>5100</v>
      </c>
      <c r="AF268">
        <v>50</v>
      </c>
      <c r="AG268"/>
      <c r="AH268"/>
      <c r="AI268"/>
      <c r="AJ268"/>
    </row>
    <row r="269" spans="1:36" x14ac:dyDescent="0.25">
      <c r="A269">
        <v>268</v>
      </c>
      <c r="B269" s="1">
        <v>46047</v>
      </c>
      <c r="C269" s="1">
        <v>46047</v>
      </c>
      <c r="D269" s="2">
        <v>0.70833333333333337</v>
      </c>
      <c r="E269" s="2">
        <v>0.75</v>
      </c>
      <c r="F269" s="3" t="s">
        <v>56</v>
      </c>
      <c r="G269" s="3" t="s">
        <v>342</v>
      </c>
      <c r="H269" s="3" t="s">
        <v>80</v>
      </c>
      <c r="I269" s="3" t="s">
        <v>30</v>
      </c>
      <c r="J269" s="3" t="s">
        <v>31</v>
      </c>
      <c r="K269" s="3" t="s">
        <v>32</v>
      </c>
      <c r="L269" s="3" t="s">
        <v>33</v>
      </c>
      <c r="M269">
        <v>100</v>
      </c>
      <c r="N269">
        <v>36</v>
      </c>
      <c r="O269">
        <v>60</v>
      </c>
      <c r="P269">
        <v>2</v>
      </c>
      <c r="Q269" s="3" t="s">
        <v>78</v>
      </c>
      <c r="R269">
        <v>94</v>
      </c>
      <c r="S269">
        <v>94</v>
      </c>
      <c r="T269">
        <v>0</v>
      </c>
      <c r="U269" s="3" t="s">
        <v>75</v>
      </c>
      <c r="V269" s="3" t="s">
        <v>76</v>
      </c>
      <c r="W269">
        <v>50</v>
      </c>
      <c r="X269">
        <v>0</v>
      </c>
      <c r="Y269">
        <v>58</v>
      </c>
      <c r="Z269" s="4">
        <v>0.96666666666666701</v>
      </c>
      <c r="AA269" s="4">
        <v>0.972413793103448</v>
      </c>
      <c r="AB269" s="4">
        <v>1</v>
      </c>
      <c r="AC269" s="4">
        <v>0.94</v>
      </c>
      <c r="AD269" s="6">
        <v>166.66669999999999</v>
      </c>
      <c r="AE269" s="5">
        <v>4700</v>
      </c>
      <c r="AF269">
        <v>166.66669999999999</v>
      </c>
      <c r="AG269"/>
      <c r="AH269"/>
      <c r="AI269"/>
      <c r="AJ269"/>
    </row>
    <row r="270" spans="1:36" x14ac:dyDescent="0.25">
      <c r="A270">
        <v>269</v>
      </c>
      <c r="B270" s="1">
        <v>46048</v>
      </c>
      <c r="C270" s="1">
        <v>46048</v>
      </c>
      <c r="D270" s="2">
        <v>0.29166666666666669</v>
      </c>
      <c r="E270" s="2">
        <v>0.33333333333333331</v>
      </c>
      <c r="F270" s="3" t="s">
        <v>27</v>
      </c>
      <c r="G270" s="3" t="s">
        <v>343</v>
      </c>
      <c r="H270" s="3" t="s">
        <v>84</v>
      </c>
      <c r="I270" s="3" t="s">
        <v>45</v>
      </c>
      <c r="J270" s="3" t="s">
        <v>46</v>
      </c>
      <c r="K270" s="3" t="s">
        <v>47</v>
      </c>
      <c r="L270" s="3" t="s">
        <v>33</v>
      </c>
      <c r="M270">
        <v>120</v>
      </c>
      <c r="N270">
        <v>30</v>
      </c>
      <c r="O270">
        <v>60</v>
      </c>
      <c r="P270">
        <v>0</v>
      </c>
      <c r="Q270" s="3" t="s">
        <v>39</v>
      </c>
      <c r="R270">
        <v>108</v>
      </c>
      <c r="S270">
        <v>102</v>
      </c>
      <c r="T270">
        <v>6</v>
      </c>
      <c r="U270" s="3" t="s">
        <v>35</v>
      </c>
      <c r="V270" s="3" t="s">
        <v>36</v>
      </c>
      <c r="W270">
        <v>80</v>
      </c>
      <c r="X270">
        <v>480</v>
      </c>
      <c r="Y270">
        <v>60</v>
      </c>
      <c r="Z270" s="4">
        <v>1</v>
      </c>
      <c r="AA270" s="4">
        <v>0.9</v>
      </c>
      <c r="AB270" s="4">
        <v>0.94444444444444398</v>
      </c>
      <c r="AC270" s="4">
        <v>0.85</v>
      </c>
      <c r="AD270" s="6">
        <v>0</v>
      </c>
      <c r="AE270" s="5">
        <v>8160</v>
      </c>
      <c r="AF270">
        <v>480</v>
      </c>
      <c r="AG270"/>
      <c r="AH270"/>
      <c r="AI270"/>
      <c r="AJ270"/>
    </row>
    <row r="271" spans="1:36" x14ac:dyDescent="0.25">
      <c r="A271">
        <v>270</v>
      </c>
      <c r="B271" s="1">
        <v>46048</v>
      </c>
      <c r="C271" s="1">
        <v>46048</v>
      </c>
      <c r="D271" s="2">
        <v>0.33333333333333331</v>
      </c>
      <c r="E271" s="2">
        <v>0.375</v>
      </c>
      <c r="F271" s="3" t="s">
        <v>27</v>
      </c>
      <c r="G271" s="3" t="s">
        <v>344</v>
      </c>
      <c r="H271" s="3" t="s">
        <v>80</v>
      </c>
      <c r="I271" s="3" t="s">
        <v>45</v>
      </c>
      <c r="J271" s="3" t="s">
        <v>46</v>
      </c>
      <c r="K271" s="3" t="s">
        <v>47</v>
      </c>
      <c r="L271" s="3" t="s">
        <v>33</v>
      </c>
      <c r="M271">
        <v>120</v>
      </c>
      <c r="N271">
        <v>30</v>
      </c>
      <c r="O271">
        <v>60</v>
      </c>
      <c r="P271">
        <v>12</v>
      </c>
      <c r="Q271" s="3" t="s">
        <v>82</v>
      </c>
      <c r="R271">
        <v>0</v>
      </c>
      <c r="S271">
        <v>0</v>
      </c>
      <c r="T271">
        <v>0</v>
      </c>
      <c r="U271" s="3" t="s">
        <v>42</v>
      </c>
      <c r="V271" s="3" t="s">
        <v>43</v>
      </c>
      <c r="W271">
        <v>80</v>
      </c>
      <c r="X271">
        <v>0</v>
      </c>
      <c r="Y271">
        <v>48</v>
      </c>
      <c r="Z271" s="4">
        <v>0.8</v>
      </c>
      <c r="AA271" s="4">
        <v>0</v>
      </c>
      <c r="AB271" s="4">
        <v>0</v>
      </c>
      <c r="AC271" s="4">
        <v>0</v>
      </c>
      <c r="AD271" s="6">
        <v>1920</v>
      </c>
      <c r="AE271" s="5">
        <v>0</v>
      </c>
      <c r="AF271">
        <v>1920</v>
      </c>
      <c r="AG271"/>
      <c r="AH271"/>
      <c r="AI271"/>
      <c r="AJ271"/>
    </row>
    <row r="272" spans="1:36" x14ac:dyDescent="0.25">
      <c r="A272">
        <v>271</v>
      </c>
      <c r="B272" s="1">
        <v>46048</v>
      </c>
      <c r="C272" s="1">
        <v>46048</v>
      </c>
      <c r="D272" s="2">
        <v>0.375</v>
      </c>
      <c r="E272" s="2">
        <v>0.41666666666666669</v>
      </c>
      <c r="F272" s="3" t="s">
        <v>27</v>
      </c>
      <c r="G272" s="3" t="s">
        <v>345</v>
      </c>
      <c r="H272" s="3" t="s">
        <v>29</v>
      </c>
      <c r="I272" s="3" t="s">
        <v>45</v>
      </c>
      <c r="J272" s="3" t="s">
        <v>46</v>
      </c>
      <c r="K272" s="3" t="s">
        <v>47</v>
      </c>
      <c r="L272" s="3" t="s">
        <v>33</v>
      </c>
      <c r="M272">
        <v>120</v>
      </c>
      <c r="N272">
        <v>30</v>
      </c>
      <c r="O272">
        <v>60</v>
      </c>
      <c r="P272">
        <v>1</v>
      </c>
      <c r="Q272" s="3" t="s">
        <v>85</v>
      </c>
      <c r="R272">
        <v>109</v>
      </c>
      <c r="S272">
        <v>108</v>
      </c>
      <c r="T272">
        <v>1</v>
      </c>
      <c r="U272" s="3" t="s">
        <v>42</v>
      </c>
      <c r="V272" s="3" t="s">
        <v>43</v>
      </c>
      <c r="W272">
        <v>80</v>
      </c>
      <c r="X272">
        <v>80</v>
      </c>
      <c r="Y272">
        <v>59</v>
      </c>
      <c r="Z272" s="4">
        <v>0.98333333333333295</v>
      </c>
      <c r="AA272" s="4">
        <v>0.92372881355932202</v>
      </c>
      <c r="AB272" s="4">
        <v>0.990825688073394</v>
      </c>
      <c r="AC272" s="4">
        <v>0.89999999999999902</v>
      </c>
      <c r="AD272" s="6">
        <v>160</v>
      </c>
      <c r="AE272" s="5">
        <v>8640</v>
      </c>
      <c r="AF272">
        <v>240</v>
      </c>
      <c r="AG272"/>
      <c r="AH272"/>
      <c r="AI272"/>
      <c r="AJ272"/>
    </row>
    <row r="273" spans="1:36" x14ac:dyDescent="0.25">
      <c r="A273">
        <v>272</v>
      </c>
      <c r="B273" s="1">
        <v>46048</v>
      </c>
      <c r="C273" s="1">
        <v>46048</v>
      </c>
      <c r="D273" s="2">
        <v>0.41666666666666669</v>
      </c>
      <c r="E273" s="2">
        <v>0.45833333333333331</v>
      </c>
      <c r="F273" s="3" t="s">
        <v>27</v>
      </c>
      <c r="G273" s="3" t="s">
        <v>346</v>
      </c>
      <c r="H273" s="3" t="s">
        <v>80</v>
      </c>
      <c r="I273" s="3" t="s">
        <v>59</v>
      </c>
      <c r="J273" s="3" t="s">
        <v>60</v>
      </c>
      <c r="K273" s="3" t="s">
        <v>61</v>
      </c>
      <c r="L273" s="3" t="s">
        <v>62</v>
      </c>
      <c r="M273">
        <v>80</v>
      </c>
      <c r="N273">
        <v>45</v>
      </c>
      <c r="O273">
        <v>60</v>
      </c>
      <c r="P273">
        <v>0</v>
      </c>
      <c r="Q273" s="3" t="s">
        <v>39</v>
      </c>
      <c r="R273">
        <v>83</v>
      </c>
      <c r="S273">
        <v>74</v>
      </c>
      <c r="T273">
        <v>9</v>
      </c>
      <c r="U273" s="3" t="s">
        <v>49</v>
      </c>
      <c r="V273" s="3" t="s">
        <v>50</v>
      </c>
      <c r="W273">
        <v>120</v>
      </c>
      <c r="X273">
        <v>1080</v>
      </c>
      <c r="Y273">
        <v>60</v>
      </c>
      <c r="Z273" s="4">
        <v>1</v>
      </c>
      <c r="AA273" s="4">
        <v>1.0375000000000001</v>
      </c>
      <c r="AB273" s="4">
        <v>0.89156626506024095</v>
      </c>
      <c r="AC273" s="4">
        <v>0.92500000000000004</v>
      </c>
      <c r="AD273" s="6">
        <v>0</v>
      </c>
      <c r="AE273" s="5">
        <v>8880</v>
      </c>
      <c r="AF273">
        <v>1080</v>
      </c>
      <c r="AG273"/>
      <c r="AH273"/>
      <c r="AI273"/>
      <c r="AJ273"/>
    </row>
    <row r="274" spans="1:36" x14ac:dyDescent="0.25">
      <c r="A274">
        <v>273</v>
      </c>
      <c r="B274" s="1">
        <v>46048</v>
      </c>
      <c r="C274" s="1">
        <v>46048</v>
      </c>
      <c r="D274" s="2">
        <v>0.45833333333333331</v>
      </c>
      <c r="E274" s="2">
        <v>0.5</v>
      </c>
      <c r="F274" s="3" t="s">
        <v>27</v>
      </c>
      <c r="G274" s="3" t="s">
        <v>347</v>
      </c>
      <c r="H274" s="3" t="s">
        <v>98</v>
      </c>
      <c r="I274" s="3" t="s">
        <v>59</v>
      </c>
      <c r="J274" s="3" t="s">
        <v>60</v>
      </c>
      <c r="K274" s="3" t="s">
        <v>61</v>
      </c>
      <c r="L274" s="3" t="s">
        <v>62</v>
      </c>
      <c r="M274">
        <v>80</v>
      </c>
      <c r="N274">
        <v>45</v>
      </c>
      <c r="O274">
        <v>60</v>
      </c>
      <c r="P274">
        <v>11</v>
      </c>
      <c r="Q274" s="3" t="s">
        <v>88</v>
      </c>
      <c r="R274">
        <v>65</v>
      </c>
      <c r="S274">
        <v>65</v>
      </c>
      <c r="T274">
        <v>0</v>
      </c>
      <c r="U274" s="3" t="s">
        <v>54</v>
      </c>
      <c r="V274" s="3" t="s">
        <v>55</v>
      </c>
      <c r="W274">
        <v>120</v>
      </c>
      <c r="X274">
        <v>0</v>
      </c>
      <c r="Y274">
        <v>49</v>
      </c>
      <c r="Z274" s="4">
        <v>0.81666666666666698</v>
      </c>
      <c r="AA274" s="4">
        <v>0.99489795918367396</v>
      </c>
      <c r="AB274" s="4">
        <v>1</v>
      </c>
      <c r="AC274" s="4">
        <v>0.812500000000001</v>
      </c>
      <c r="AD274" s="6">
        <v>1760</v>
      </c>
      <c r="AE274" s="5">
        <v>7800</v>
      </c>
      <c r="AF274">
        <v>1760</v>
      </c>
      <c r="AG274"/>
      <c r="AH274"/>
      <c r="AI274"/>
      <c r="AJ274"/>
    </row>
    <row r="275" spans="1:36" x14ac:dyDescent="0.25">
      <c r="A275">
        <v>274</v>
      </c>
      <c r="B275" s="1">
        <v>46048</v>
      </c>
      <c r="C275" s="1">
        <v>46048</v>
      </c>
      <c r="D275" s="2">
        <v>0.5</v>
      </c>
      <c r="E275" s="2">
        <v>0.54166666666666663</v>
      </c>
      <c r="F275" s="3" t="s">
        <v>56</v>
      </c>
      <c r="G275" s="3" t="s">
        <v>348</v>
      </c>
      <c r="H275" s="3" t="s">
        <v>84</v>
      </c>
      <c r="I275" s="3" t="s">
        <v>30</v>
      </c>
      <c r="J275" s="3" t="s">
        <v>31</v>
      </c>
      <c r="K275" s="3" t="s">
        <v>32</v>
      </c>
      <c r="L275" s="3" t="s">
        <v>33</v>
      </c>
      <c r="M275">
        <v>100</v>
      </c>
      <c r="N275">
        <v>36</v>
      </c>
      <c r="O275">
        <v>60</v>
      </c>
      <c r="P275">
        <v>0</v>
      </c>
      <c r="Q275" s="3" t="s">
        <v>39</v>
      </c>
      <c r="R275">
        <v>96</v>
      </c>
      <c r="S275">
        <v>93</v>
      </c>
      <c r="T275">
        <v>3</v>
      </c>
      <c r="U275" s="3" t="s">
        <v>63</v>
      </c>
      <c r="V275" s="3" t="s">
        <v>64</v>
      </c>
      <c r="W275">
        <v>50</v>
      </c>
      <c r="X275">
        <v>150</v>
      </c>
      <c r="Y275">
        <v>60</v>
      </c>
      <c r="Z275" s="4">
        <v>1</v>
      </c>
      <c r="AA275" s="4">
        <v>0.96</v>
      </c>
      <c r="AB275" s="4">
        <v>0.96875</v>
      </c>
      <c r="AC275" s="4">
        <v>0.93</v>
      </c>
      <c r="AD275" s="6">
        <v>0</v>
      </c>
      <c r="AE275" s="5">
        <v>4650</v>
      </c>
      <c r="AF275">
        <v>150</v>
      </c>
      <c r="AG275"/>
      <c r="AH275"/>
      <c r="AI275"/>
      <c r="AJ275"/>
    </row>
    <row r="276" spans="1:36" x14ac:dyDescent="0.25">
      <c r="A276">
        <v>275</v>
      </c>
      <c r="B276" s="1">
        <v>46048</v>
      </c>
      <c r="C276" s="1">
        <v>46048</v>
      </c>
      <c r="D276" s="2">
        <v>0.54166666666666663</v>
      </c>
      <c r="E276" s="2">
        <v>0.58333333333333337</v>
      </c>
      <c r="F276" s="3" t="s">
        <v>56</v>
      </c>
      <c r="G276" s="3" t="s">
        <v>349</v>
      </c>
      <c r="H276" s="3" t="s">
        <v>67</v>
      </c>
      <c r="I276" s="3" t="s">
        <v>30</v>
      </c>
      <c r="J276" s="3" t="s">
        <v>31</v>
      </c>
      <c r="K276" s="3" t="s">
        <v>32</v>
      </c>
      <c r="L276" s="3" t="s">
        <v>33</v>
      </c>
      <c r="M276">
        <v>100</v>
      </c>
      <c r="N276">
        <v>36</v>
      </c>
      <c r="O276">
        <v>60</v>
      </c>
      <c r="P276">
        <v>8</v>
      </c>
      <c r="Q276" s="3" t="s">
        <v>92</v>
      </c>
      <c r="R276">
        <v>86</v>
      </c>
      <c r="S276">
        <v>86</v>
      </c>
      <c r="T276">
        <v>0</v>
      </c>
      <c r="U276" s="3" t="s">
        <v>69</v>
      </c>
      <c r="V276" s="3" t="s">
        <v>70</v>
      </c>
      <c r="W276">
        <v>50</v>
      </c>
      <c r="X276">
        <v>0</v>
      </c>
      <c r="Y276">
        <v>52</v>
      </c>
      <c r="Z276" s="4">
        <v>0.86666666666666703</v>
      </c>
      <c r="AA276" s="4">
        <v>0.992307692307692</v>
      </c>
      <c r="AB276" s="4">
        <v>1</v>
      </c>
      <c r="AC276" s="4">
        <v>0.86</v>
      </c>
      <c r="AD276" s="6">
        <v>666.66669999999999</v>
      </c>
      <c r="AE276" s="5">
        <v>4300</v>
      </c>
      <c r="AF276">
        <v>666.66669999999999</v>
      </c>
      <c r="AG276"/>
      <c r="AH276"/>
      <c r="AI276"/>
      <c r="AJ276"/>
    </row>
    <row r="277" spans="1:36" x14ac:dyDescent="0.25">
      <c r="A277">
        <v>276</v>
      </c>
      <c r="B277" s="1">
        <v>46048</v>
      </c>
      <c r="C277" s="1">
        <v>46048</v>
      </c>
      <c r="D277" s="2">
        <v>0.58333333333333337</v>
      </c>
      <c r="E277" s="2">
        <v>0.625</v>
      </c>
      <c r="F277" s="3" t="s">
        <v>56</v>
      </c>
      <c r="G277" s="3" t="s">
        <v>350</v>
      </c>
      <c r="H277" s="3" t="s">
        <v>117</v>
      </c>
      <c r="I277" s="3" t="s">
        <v>45</v>
      </c>
      <c r="J277" s="3" t="s">
        <v>46</v>
      </c>
      <c r="K277" s="3" t="s">
        <v>47</v>
      </c>
      <c r="L277" s="3" t="s">
        <v>33</v>
      </c>
      <c r="M277">
        <v>120</v>
      </c>
      <c r="N277">
        <v>30</v>
      </c>
      <c r="O277">
        <v>60</v>
      </c>
      <c r="P277">
        <v>0</v>
      </c>
      <c r="Q277" s="3" t="s">
        <v>39</v>
      </c>
      <c r="R277">
        <v>107</v>
      </c>
      <c r="S277">
        <v>101</v>
      </c>
      <c r="T277">
        <v>6</v>
      </c>
      <c r="U277" s="3" t="s">
        <v>72</v>
      </c>
      <c r="V277" s="3" t="s">
        <v>73</v>
      </c>
      <c r="W277">
        <v>80</v>
      </c>
      <c r="X277">
        <v>480</v>
      </c>
      <c r="Y277">
        <v>60</v>
      </c>
      <c r="Z277" s="4">
        <v>1</v>
      </c>
      <c r="AA277" s="4">
        <v>0.89166666666666705</v>
      </c>
      <c r="AB277" s="4">
        <v>0.94392523364486003</v>
      </c>
      <c r="AC277" s="4">
        <v>0.84166666666666701</v>
      </c>
      <c r="AD277" s="6">
        <v>0</v>
      </c>
      <c r="AE277" s="5">
        <v>8080</v>
      </c>
      <c r="AF277">
        <v>480</v>
      </c>
      <c r="AG277"/>
      <c r="AH277"/>
      <c r="AI277"/>
      <c r="AJ277"/>
    </row>
    <row r="278" spans="1:36" x14ac:dyDescent="0.25">
      <c r="A278">
        <v>277</v>
      </c>
      <c r="B278" s="1">
        <v>46048</v>
      </c>
      <c r="C278" s="1">
        <v>46048</v>
      </c>
      <c r="D278" s="2">
        <v>0.625</v>
      </c>
      <c r="E278" s="2">
        <v>0.66666666666666663</v>
      </c>
      <c r="F278" s="3" t="s">
        <v>56</v>
      </c>
      <c r="G278" s="3" t="s">
        <v>351</v>
      </c>
      <c r="H278" s="3" t="s">
        <v>80</v>
      </c>
      <c r="I278" s="3" t="s">
        <v>45</v>
      </c>
      <c r="J278" s="3" t="s">
        <v>46</v>
      </c>
      <c r="K278" s="3" t="s">
        <v>47</v>
      </c>
      <c r="L278" s="3" t="s">
        <v>33</v>
      </c>
      <c r="M278">
        <v>120</v>
      </c>
      <c r="N278">
        <v>30</v>
      </c>
      <c r="O278">
        <v>60</v>
      </c>
      <c r="P278">
        <v>9</v>
      </c>
      <c r="Q278" s="3" t="s">
        <v>95</v>
      </c>
      <c r="R278">
        <v>86</v>
      </c>
      <c r="S278">
        <v>73</v>
      </c>
      <c r="T278">
        <v>13</v>
      </c>
      <c r="U278" s="3" t="s">
        <v>63</v>
      </c>
      <c r="V278" s="3" t="s">
        <v>64</v>
      </c>
      <c r="W278">
        <v>80</v>
      </c>
      <c r="X278">
        <v>1040</v>
      </c>
      <c r="Y278">
        <v>51</v>
      </c>
      <c r="Z278" s="4">
        <v>0.85</v>
      </c>
      <c r="AA278" s="4">
        <v>0.84313725490196101</v>
      </c>
      <c r="AB278" s="4">
        <v>0.84883720930232598</v>
      </c>
      <c r="AC278" s="4">
        <v>0.60833333333333395</v>
      </c>
      <c r="AD278" s="6">
        <v>1440</v>
      </c>
      <c r="AE278" s="5">
        <v>5840</v>
      </c>
      <c r="AF278">
        <v>2480</v>
      </c>
      <c r="AG278"/>
      <c r="AH278"/>
      <c r="AI278"/>
      <c r="AJ278"/>
    </row>
    <row r="279" spans="1:36" x14ac:dyDescent="0.25">
      <c r="A279">
        <v>278</v>
      </c>
      <c r="B279" s="1">
        <v>46048</v>
      </c>
      <c r="C279" s="1">
        <v>46048</v>
      </c>
      <c r="D279" s="2">
        <v>0.70833333333333337</v>
      </c>
      <c r="E279" s="2">
        <v>0.75</v>
      </c>
      <c r="F279" s="3" t="s">
        <v>96</v>
      </c>
      <c r="G279" s="3" t="s">
        <v>352</v>
      </c>
      <c r="H279" s="3" t="s">
        <v>38</v>
      </c>
      <c r="I279" s="3" t="s">
        <v>59</v>
      </c>
      <c r="J279" s="3" t="s">
        <v>60</v>
      </c>
      <c r="K279" s="3" t="s">
        <v>61</v>
      </c>
      <c r="L279" s="3" t="s">
        <v>62</v>
      </c>
      <c r="M279">
        <v>80</v>
      </c>
      <c r="N279">
        <v>45</v>
      </c>
      <c r="O279">
        <v>60</v>
      </c>
      <c r="P279">
        <v>0</v>
      </c>
      <c r="Q279" s="3" t="s">
        <v>39</v>
      </c>
      <c r="R279">
        <v>81</v>
      </c>
      <c r="S279">
        <v>81</v>
      </c>
      <c r="T279">
        <v>0</v>
      </c>
      <c r="U279" s="3" t="s">
        <v>99</v>
      </c>
      <c r="V279" s="3" t="s">
        <v>100</v>
      </c>
      <c r="W279">
        <v>120</v>
      </c>
      <c r="X279">
        <v>0</v>
      </c>
      <c r="Y279">
        <v>60</v>
      </c>
      <c r="Z279" s="4">
        <v>1</v>
      </c>
      <c r="AA279" s="4">
        <v>1.0125</v>
      </c>
      <c r="AB279" s="4">
        <v>1</v>
      </c>
      <c r="AC279" s="4">
        <v>1.0125</v>
      </c>
      <c r="AD279" s="6">
        <v>0</v>
      </c>
      <c r="AE279" s="5">
        <v>9720</v>
      </c>
      <c r="AF279">
        <v>0</v>
      </c>
      <c r="AG279"/>
      <c r="AH279"/>
      <c r="AI279"/>
      <c r="AJ279"/>
    </row>
    <row r="280" spans="1:36" x14ac:dyDescent="0.25">
      <c r="A280">
        <v>279</v>
      </c>
      <c r="B280" s="1">
        <v>46048</v>
      </c>
      <c r="C280" s="1">
        <v>46048</v>
      </c>
      <c r="D280" s="2">
        <v>0.75</v>
      </c>
      <c r="E280" s="2">
        <v>0.79166666666666663</v>
      </c>
      <c r="F280" s="3" t="s">
        <v>96</v>
      </c>
      <c r="G280" s="3" t="s">
        <v>353</v>
      </c>
      <c r="H280" s="3" t="s">
        <v>58</v>
      </c>
      <c r="I280" s="3" t="s">
        <v>59</v>
      </c>
      <c r="J280" s="3" t="s">
        <v>60</v>
      </c>
      <c r="K280" s="3" t="s">
        <v>61</v>
      </c>
      <c r="L280" s="3" t="s">
        <v>62</v>
      </c>
      <c r="M280">
        <v>80</v>
      </c>
      <c r="N280">
        <v>45</v>
      </c>
      <c r="O280">
        <v>60</v>
      </c>
      <c r="P280">
        <v>32</v>
      </c>
      <c r="Q280" s="3" t="s">
        <v>102</v>
      </c>
      <c r="R280">
        <v>64</v>
      </c>
      <c r="S280">
        <v>44</v>
      </c>
      <c r="T280">
        <v>20</v>
      </c>
      <c r="U280" s="3" t="s">
        <v>99</v>
      </c>
      <c r="V280" s="3" t="s">
        <v>100</v>
      </c>
      <c r="W280">
        <v>120</v>
      </c>
      <c r="X280">
        <v>2400</v>
      </c>
      <c r="Y280">
        <v>28</v>
      </c>
      <c r="Z280" s="4">
        <v>0.46666666666666701</v>
      </c>
      <c r="AA280" s="4">
        <v>1.71428571428571</v>
      </c>
      <c r="AB280" s="4">
        <v>0.6875</v>
      </c>
      <c r="AC280" s="4">
        <v>0.54999999999999905</v>
      </c>
      <c r="AD280" s="6">
        <v>5120</v>
      </c>
      <c r="AE280" s="5">
        <v>5280</v>
      </c>
      <c r="AF280">
        <v>7520</v>
      </c>
      <c r="AG280"/>
      <c r="AH280"/>
      <c r="AI280"/>
      <c r="AJ280"/>
    </row>
    <row r="281" spans="1:36" x14ac:dyDescent="0.25">
      <c r="A281">
        <v>280</v>
      </c>
      <c r="B281" s="1">
        <v>46049</v>
      </c>
      <c r="C281" s="1">
        <v>46049</v>
      </c>
      <c r="D281" s="2">
        <v>0.29166666666666669</v>
      </c>
      <c r="E281" s="2">
        <v>0.33333333333333331</v>
      </c>
      <c r="F281" s="3" t="s">
        <v>27</v>
      </c>
      <c r="G281" s="3" t="s">
        <v>354</v>
      </c>
      <c r="H281" s="3" t="s">
        <v>117</v>
      </c>
      <c r="I281" s="3" t="s">
        <v>30</v>
      </c>
      <c r="J281" s="3" t="s">
        <v>31</v>
      </c>
      <c r="K281" s="3" t="s">
        <v>32</v>
      </c>
      <c r="L281" s="3" t="s">
        <v>33</v>
      </c>
      <c r="M281">
        <v>100</v>
      </c>
      <c r="N281">
        <v>36</v>
      </c>
      <c r="O281">
        <v>60</v>
      </c>
      <c r="P281">
        <v>7</v>
      </c>
      <c r="Q281" s="3" t="s">
        <v>104</v>
      </c>
      <c r="R281">
        <v>93</v>
      </c>
      <c r="S281">
        <v>91</v>
      </c>
      <c r="T281">
        <v>2</v>
      </c>
      <c r="U281" s="3" t="s">
        <v>35</v>
      </c>
      <c r="V281" s="3" t="s">
        <v>36</v>
      </c>
      <c r="W281">
        <v>50</v>
      </c>
      <c r="X281">
        <v>100</v>
      </c>
      <c r="Y281">
        <v>53</v>
      </c>
      <c r="Z281" s="4">
        <v>0.88333333333333297</v>
      </c>
      <c r="AA281" s="4">
        <v>1.0528301886792499</v>
      </c>
      <c r="AB281" s="4">
        <v>0.978494623655914</v>
      </c>
      <c r="AC281" s="4">
        <v>0.91000000000000403</v>
      </c>
      <c r="AD281" s="6">
        <v>583.33330000000001</v>
      </c>
      <c r="AE281" s="5">
        <v>4550</v>
      </c>
      <c r="AF281">
        <v>683.33330000000001</v>
      </c>
      <c r="AG281"/>
      <c r="AH281"/>
      <c r="AI281"/>
      <c r="AJ281"/>
    </row>
    <row r="282" spans="1:36" x14ac:dyDescent="0.25">
      <c r="A282">
        <v>281</v>
      </c>
      <c r="B282" s="1">
        <v>46049</v>
      </c>
      <c r="C282" s="1">
        <v>46049</v>
      </c>
      <c r="D282" s="2">
        <v>0.33333333333333331</v>
      </c>
      <c r="E282" s="2">
        <v>0.375</v>
      </c>
      <c r="F282" s="3" t="s">
        <v>27</v>
      </c>
      <c r="G282" s="3" t="s">
        <v>355</v>
      </c>
      <c r="H282" s="3" t="s">
        <v>38</v>
      </c>
      <c r="I282" s="3" t="s">
        <v>30</v>
      </c>
      <c r="J282" s="3" t="s">
        <v>31</v>
      </c>
      <c r="K282" s="3" t="s">
        <v>32</v>
      </c>
      <c r="L282" s="3" t="s">
        <v>33</v>
      </c>
      <c r="M282">
        <v>100</v>
      </c>
      <c r="N282">
        <v>36</v>
      </c>
      <c r="O282">
        <v>60</v>
      </c>
      <c r="P282">
        <v>0</v>
      </c>
      <c r="Q282" s="3" t="s">
        <v>39</v>
      </c>
      <c r="R282">
        <v>102</v>
      </c>
      <c r="S282">
        <v>102</v>
      </c>
      <c r="T282">
        <v>0</v>
      </c>
      <c r="U282" s="3" t="s">
        <v>35</v>
      </c>
      <c r="V282" s="3" t="s">
        <v>36</v>
      </c>
      <c r="W282">
        <v>50</v>
      </c>
      <c r="X282">
        <v>0</v>
      </c>
      <c r="Y282">
        <v>60</v>
      </c>
      <c r="Z282" s="4">
        <v>1</v>
      </c>
      <c r="AA282" s="4">
        <v>1.02</v>
      </c>
      <c r="AB282" s="4">
        <v>1</v>
      </c>
      <c r="AC282" s="4">
        <v>1.02</v>
      </c>
      <c r="AD282" s="6">
        <v>0</v>
      </c>
      <c r="AE282" s="5">
        <v>5100</v>
      </c>
      <c r="AF282">
        <v>0</v>
      </c>
      <c r="AG282"/>
      <c r="AH282"/>
      <c r="AI282"/>
      <c r="AJ282"/>
    </row>
    <row r="283" spans="1:36" x14ac:dyDescent="0.25">
      <c r="A283">
        <v>282</v>
      </c>
      <c r="B283" s="1">
        <v>46049</v>
      </c>
      <c r="C283" s="1">
        <v>46049</v>
      </c>
      <c r="D283" s="2">
        <v>0.375</v>
      </c>
      <c r="E283" s="2">
        <v>0.41666666666666669</v>
      </c>
      <c r="F283" s="3" t="s">
        <v>27</v>
      </c>
      <c r="G283" s="3" t="s">
        <v>356</v>
      </c>
      <c r="H283" s="3" t="s">
        <v>67</v>
      </c>
      <c r="I283" s="3" t="s">
        <v>30</v>
      </c>
      <c r="J283" s="3" t="s">
        <v>31</v>
      </c>
      <c r="K283" s="3" t="s">
        <v>32</v>
      </c>
      <c r="L283" s="3" t="s">
        <v>33</v>
      </c>
      <c r="M283">
        <v>100</v>
      </c>
      <c r="N283">
        <v>36</v>
      </c>
      <c r="O283">
        <v>60</v>
      </c>
      <c r="P283">
        <v>8</v>
      </c>
      <c r="Q283" s="3" t="s">
        <v>34</v>
      </c>
      <c r="R283">
        <v>86</v>
      </c>
      <c r="S283">
        <v>84</v>
      </c>
      <c r="T283">
        <v>2</v>
      </c>
      <c r="U283" s="3" t="s">
        <v>35</v>
      </c>
      <c r="V283" s="3" t="s">
        <v>36</v>
      </c>
      <c r="W283">
        <v>50</v>
      </c>
      <c r="X283">
        <v>100</v>
      </c>
      <c r="Y283">
        <v>52</v>
      </c>
      <c r="Z283" s="4">
        <v>0.86666666666666703</v>
      </c>
      <c r="AA283" s="4">
        <v>0.992307692307692</v>
      </c>
      <c r="AB283" s="4">
        <v>0.97674418604651203</v>
      </c>
      <c r="AC283" s="4">
        <v>0.84</v>
      </c>
      <c r="AD283" s="6">
        <v>666.66669999999999</v>
      </c>
      <c r="AE283" s="5">
        <v>4200</v>
      </c>
      <c r="AF283">
        <v>766.66669999999999</v>
      </c>
      <c r="AG283"/>
      <c r="AH283"/>
      <c r="AI283"/>
      <c r="AJ283"/>
    </row>
    <row r="284" spans="1:36" x14ac:dyDescent="0.25">
      <c r="A284">
        <v>283</v>
      </c>
      <c r="B284" s="1">
        <v>46049</v>
      </c>
      <c r="C284" s="1">
        <v>46049</v>
      </c>
      <c r="D284" s="2">
        <v>0.41666666666666669</v>
      </c>
      <c r="E284" s="2">
        <v>0.45833333333333331</v>
      </c>
      <c r="F284" s="3" t="s">
        <v>27</v>
      </c>
      <c r="G284" s="3" t="s">
        <v>357</v>
      </c>
      <c r="H284" s="3" t="s">
        <v>29</v>
      </c>
      <c r="I284" s="3" t="s">
        <v>30</v>
      </c>
      <c r="J284" s="3" t="s">
        <v>31</v>
      </c>
      <c r="K284" s="3" t="s">
        <v>32</v>
      </c>
      <c r="L284" s="3" t="s">
        <v>33</v>
      </c>
      <c r="M284">
        <v>100</v>
      </c>
      <c r="N284">
        <v>36</v>
      </c>
      <c r="O284">
        <v>60</v>
      </c>
      <c r="P284">
        <v>12</v>
      </c>
      <c r="Q284" s="3" t="s">
        <v>41</v>
      </c>
      <c r="R284">
        <v>71</v>
      </c>
      <c r="S284">
        <v>65</v>
      </c>
      <c r="T284">
        <v>6</v>
      </c>
      <c r="U284" s="3" t="s">
        <v>42</v>
      </c>
      <c r="V284" s="3" t="s">
        <v>43</v>
      </c>
      <c r="W284">
        <v>50</v>
      </c>
      <c r="X284">
        <v>300</v>
      </c>
      <c r="Y284">
        <v>48</v>
      </c>
      <c r="Z284" s="4">
        <v>0.8</v>
      </c>
      <c r="AA284" s="4">
        <v>0.88749999999999996</v>
      </c>
      <c r="AB284" s="4">
        <v>0.91549295774647899</v>
      </c>
      <c r="AC284" s="4">
        <v>0.65</v>
      </c>
      <c r="AD284" s="6">
        <v>1000</v>
      </c>
      <c r="AE284" s="5">
        <v>3250</v>
      </c>
      <c r="AF284">
        <v>1300</v>
      </c>
      <c r="AG284"/>
      <c r="AH284"/>
      <c r="AI284"/>
      <c r="AJ284"/>
    </row>
    <row r="285" spans="1:36" x14ac:dyDescent="0.25">
      <c r="A285">
        <v>284</v>
      </c>
      <c r="B285" s="1">
        <v>46049</v>
      </c>
      <c r="C285" s="1">
        <v>46049</v>
      </c>
      <c r="D285" s="2">
        <v>0.45833333333333331</v>
      </c>
      <c r="E285" s="2">
        <v>0.5</v>
      </c>
      <c r="F285" s="3" t="s">
        <v>27</v>
      </c>
      <c r="G285" s="3" t="s">
        <v>358</v>
      </c>
      <c r="H285" s="3" t="s">
        <v>91</v>
      </c>
      <c r="I285" s="3" t="s">
        <v>45</v>
      </c>
      <c r="J285" s="3" t="s">
        <v>46</v>
      </c>
      <c r="K285" s="3" t="s">
        <v>47</v>
      </c>
      <c r="L285" s="3" t="s">
        <v>33</v>
      </c>
      <c r="M285">
        <v>120</v>
      </c>
      <c r="N285">
        <v>30</v>
      </c>
      <c r="O285">
        <v>60</v>
      </c>
      <c r="P285">
        <v>3</v>
      </c>
      <c r="Q285" s="3" t="s">
        <v>48</v>
      </c>
      <c r="R285">
        <v>118</v>
      </c>
      <c r="S285">
        <v>114</v>
      </c>
      <c r="T285">
        <v>4</v>
      </c>
      <c r="U285" s="3" t="s">
        <v>49</v>
      </c>
      <c r="V285" s="3" t="s">
        <v>50</v>
      </c>
      <c r="W285">
        <v>80</v>
      </c>
      <c r="X285">
        <v>320</v>
      </c>
      <c r="Y285">
        <v>57</v>
      </c>
      <c r="Z285" s="4">
        <v>0.95</v>
      </c>
      <c r="AA285" s="4">
        <v>1.0350877192982499</v>
      </c>
      <c r="AB285" s="4">
        <v>0.96610169491525399</v>
      </c>
      <c r="AC285" s="4">
        <v>0.95000000000000395</v>
      </c>
      <c r="AD285" s="6">
        <v>480</v>
      </c>
      <c r="AE285" s="5">
        <v>9120</v>
      </c>
      <c r="AF285">
        <v>800</v>
      </c>
      <c r="AG285"/>
      <c r="AH285"/>
      <c r="AI285"/>
      <c r="AJ285"/>
    </row>
    <row r="286" spans="1:36" x14ac:dyDescent="0.25">
      <c r="A286">
        <v>285</v>
      </c>
      <c r="B286" s="1">
        <v>46049</v>
      </c>
      <c r="C286" s="1">
        <v>46049</v>
      </c>
      <c r="D286" s="2">
        <v>0.5</v>
      </c>
      <c r="E286" s="2">
        <v>0.54166666666666663</v>
      </c>
      <c r="F286" s="3" t="s">
        <v>56</v>
      </c>
      <c r="G286" s="3" t="s">
        <v>359</v>
      </c>
      <c r="H286" s="3" t="s">
        <v>38</v>
      </c>
      <c r="I286" s="3" t="s">
        <v>59</v>
      </c>
      <c r="J286" s="3" t="s">
        <v>60</v>
      </c>
      <c r="K286" s="3" t="s">
        <v>61</v>
      </c>
      <c r="L286" s="3" t="s">
        <v>62</v>
      </c>
      <c r="M286">
        <v>80</v>
      </c>
      <c r="N286">
        <v>45</v>
      </c>
      <c r="O286">
        <v>60</v>
      </c>
      <c r="P286">
        <v>7</v>
      </c>
      <c r="Q286" s="3" t="s">
        <v>34</v>
      </c>
      <c r="R286">
        <v>76</v>
      </c>
      <c r="S286">
        <v>76</v>
      </c>
      <c r="T286">
        <v>0</v>
      </c>
      <c r="U286" s="3" t="s">
        <v>63</v>
      </c>
      <c r="V286" s="3" t="s">
        <v>64</v>
      </c>
      <c r="W286">
        <v>120</v>
      </c>
      <c r="X286">
        <v>0</v>
      </c>
      <c r="Y286">
        <v>53</v>
      </c>
      <c r="Z286" s="4">
        <v>0.88333333333333297</v>
      </c>
      <c r="AA286" s="4">
        <v>1.07547169811321</v>
      </c>
      <c r="AB286" s="4">
        <v>1</v>
      </c>
      <c r="AC286" s="4">
        <v>0.95000000000000195</v>
      </c>
      <c r="AD286" s="6">
        <v>1120</v>
      </c>
      <c r="AE286" s="5">
        <v>9120</v>
      </c>
      <c r="AF286">
        <v>1120</v>
      </c>
      <c r="AG286"/>
      <c r="AH286"/>
      <c r="AI286"/>
      <c r="AJ286"/>
    </row>
    <row r="287" spans="1:36" x14ac:dyDescent="0.25">
      <c r="A287">
        <v>286</v>
      </c>
      <c r="B287" s="1">
        <v>46049</v>
      </c>
      <c r="C287" s="1">
        <v>46049</v>
      </c>
      <c r="D287" s="2">
        <v>0.54166666666666663</v>
      </c>
      <c r="E287" s="2">
        <v>0.58333333333333337</v>
      </c>
      <c r="F287" s="3" t="s">
        <v>56</v>
      </c>
      <c r="G287" s="3" t="s">
        <v>360</v>
      </c>
      <c r="H287" s="3" t="s">
        <v>58</v>
      </c>
      <c r="I287" s="3" t="s">
        <v>59</v>
      </c>
      <c r="J287" s="3" t="s">
        <v>60</v>
      </c>
      <c r="K287" s="3" t="s">
        <v>61</v>
      </c>
      <c r="L287" s="3" t="s">
        <v>62</v>
      </c>
      <c r="M287">
        <v>80</v>
      </c>
      <c r="N287">
        <v>45</v>
      </c>
      <c r="O287">
        <v>60</v>
      </c>
      <c r="P287">
        <v>40</v>
      </c>
      <c r="Q287" s="3" t="s">
        <v>68</v>
      </c>
      <c r="R287">
        <v>51</v>
      </c>
      <c r="S287">
        <v>0</v>
      </c>
      <c r="T287">
        <v>51</v>
      </c>
      <c r="U287" s="3" t="s">
        <v>69</v>
      </c>
      <c r="V287" s="3" t="s">
        <v>70</v>
      </c>
      <c r="W287">
        <v>120</v>
      </c>
      <c r="X287">
        <v>6120</v>
      </c>
      <c r="Y287">
        <v>20</v>
      </c>
      <c r="Z287" s="4">
        <v>0.33333333333333298</v>
      </c>
      <c r="AA287" s="4">
        <v>1.9125000000000001</v>
      </c>
      <c r="AB287" s="4">
        <v>0</v>
      </c>
      <c r="AC287" s="4">
        <v>0</v>
      </c>
      <c r="AD287" s="6">
        <v>6400</v>
      </c>
      <c r="AE287" s="5">
        <v>0</v>
      </c>
      <c r="AF287">
        <v>12520</v>
      </c>
      <c r="AG287"/>
      <c r="AH287"/>
      <c r="AI287"/>
      <c r="AJ287"/>
    </row>
    <row r="288" spans="1:36" x14ac:dyDescent="0.25">
      <c r="A288">
        <v>287</v>
      </c>
      <c r="B288" s="1">
        <v>46049</v>
      </c>
      <c r="C288" s="1">
        <v>46049</v>
      </c>
      <c r="D288" s="2">
        <v>0.58333333333333337</v>
      </c>
      <c r="E288" s="2">
        <v>0.625</v>
      </c>
      <c r="F288" s="3" t="s">
        <v>56</v>
      </c>
      <c r="G288" s="3" t="s">
        <v>361</v>
      </c>
      <c r="H288" s="3" t="s">
        <v>29</v>
      </c>
      <c r="I288" s="3" t="s">
        <v>30</v>
      </c>
      <c r="J288" s="3" t="s">
        <v>31</v>
      </c>
      <c r="K288" s="3" t="s">
        <v>32</v>
      </c>
      <c r="L288" s="3" t="s">
        <v>33</v>
      </c>
      <c r="M288">
        <v>100</v>
      </c>
      <c r="N288">
        <v>36</v>
      </c>
      <c r="O288">
        <v>60</v>
      </c>
      <c r="P288">
        <v>8</v>
      </c>
      <c r="Q288" s="3" t="s">
        <v>34</v>
      </c>
      <c r="R288">
        <v>87</v>
      </c>
      <c r="S288">
        <v>85</v>
      </c>
      <c r="T288">
        <v>2</v>
      </c>
      <c r="U288" s="3" t="s">
        <v>72</v>
      </c>
      <c r="V288" s="3" t="s">
        <v>73</v>
      </c>
      <c r="W288">
        <v>50</v>
      </c>
      <c r="X288">
        <v>100</v>
      </c>
      <c r="Y288">
        <v>52</v>
      </c>
      <c r="Z288" s="4">
        <v>0.86666666666666703</v>
      </c>
      <c r="AA288" s="4">
        <v>1.0038461538461501</v>
      </c>
      <c r="AB288" s="4">
        <v>0.97701149425287404</v>
      </c>
      <c r="AC288" s="4">
        <v>0.84999999999999798</v>
      </c>
      <c r="AD288" s="6">
        <v>666.66669999999999</v>
      </c>
      <c r="AE288" s="5">
        <v>4250</v>
      </c>
      <c r="AF288">
        <v>766.66669999999999</v>
      </c>
      <c r="AG288"/>
      <c r="AH288"/>
      <c r="AI288"/>
      <c r="AJ288"/>
    </row>
    <row r="289" spans="1:36" x14ac:dyDescent="0.25">
      <c r="A289">
        <v>288</v>
      </c>
      <c r="B289" s="1">
        <v>46049</v>
      </c>
      <c r="C289" s="1">
        <v>46049</v>
      </c>
      <c r="D289" s="2">
        <v>0.625</v>
      </c>
      <c r="E289" s="2">
        <v>0.66666666666666663</v>
      </c>
      <c r="F289" s="3" t="s">
        <v>56</v>
      </c>
      <c r="G289" s="3" t="s">
        <v>362</v>
      </c>
      <c r="H289" s="3" t="s">
        <v>38</v>
      </c>
      <c r="I289" s="3" t="s">
        <v>30</v>
      </c>
      <c r="J289" s="3" t="s">
        <v>31</v>
      </c>
      <c r="K289" s="3" t="s">
        <v>32</v>
      </c>
      <c r="L289" s="3" t="s">
        <v>33</v>
      </c>
      <c r="M289">
        <v>100</v>
      </c>
      <c r="N289">
        <v>36</v>
      </c>
      <c r="O289">
        <v>60</v>
      </c>
      <c r="P289">
        <v>2</v>
      </c>
      <c r="Q289" s="3" t="s">
        <v>78</v>
      </c>
      <c r="R289">
        <v>91</v>
      </c>
      <c r="S289">
        <v>91</v>
      </c>
      <c r="T289">
        <v>0</v>
      </c>
      <c r="U289" s="3" t="s">
        <v>75</v>
      </c>
      <c r="V289" s="3" t="s">
        <v>76</v>
      </c>
      <c r="W289">
        <v>50</v>
      </c>
      <c r="X289">
        <v>0</v>
      </c>
      <c r="Y289">
        <v>58</v>
      </c>
      <c r="Z289" s="4">
        <v>0.96666666666666701</v>
      </c>
      <c r="AA289" s="4">
        <v>0.94137931034482802</v>
      </c>
      <c r="AB289" s="4">
        <v>1</v>
      </c>
      <c r="AC289" s="4">
        <v>0.91000000000000103</v>
      </c>
      <c r="AD289" s="6">
        <v>166.66669999999999</v>
      </c>
      <c r="AE289" s="5">
        <v>4550</v>
      </c>
      <c r="AF289">
        <v>166.66669999999999</v>
      </c>
      <c r="AG289"/>
      <c r="AH289"/>
      <c r="AI289"/>
      <c r="AJ289"/>
    </row>
    <row r="290" spans="1:36" x14ac:dyDescent="0.25">
      <c r="A290">
        <v>289</v>
      </c>
      <c r="B290" s="1">
        <v>46050</v>
      </c>
      <c r="C290" s="1">
        <v>46050</v>
      </c>
      <c r="D290" s="2">
        <v>0.29166666666666669</v>
      </c>
      <c r="E290" s="2">
        <v>0.33333333333333331</v>
      </c>
      <c r="F290" s="3" t="s">
        <v>27</v>
      </c>
      <c r="G290" s="3" t="s">
        <v>363</v>
      </c>
      <c r="H290" s="3" t="s">
        <v>80</v>
      </c>
      <c r="I290" s="3" t="s">
        <v>30</v>
      </c>
      <c r="J290" s="3" t="s">
        <v>31</v>
      </c>
      <c r="K290" s="3" t="s">
        <v>32</v>
      </c>
      <c r="L290" s="3" t="s">
        <v>33</v>
      </c>
      <c r="M290">
        <v>100</v>
      </c>
      <c r="N290">
        <v>36</v>
      </c>
      <c r="O290">
        <v>60</v>
      </c>
      <c r="P290">
        <v>6</v>
      </c>
      <c r="Q290" s="3" t="s">
        <v>34</v>
      </c>
      <c r="R290">
        <v>86</v>
      </c>
      <c r="S290">
        <v>83</v>
      </c>
      <c r="T290">
        <v>3</v>
      </c>
      <c r="U290" s="3" t="s">
        <v>35</v>
      </c>
      <c r="V290" s="3" t="s">
        <v>36</v>
      </c>
      <c r="W290">
        <v>50</v>
      </c>
      <c r="X290">
        <v>150</v>
      </c>
      <c r="Y290">
        <v>54</v>
      </c>
      <c r="Z290" s="4">
        <v>0.9</v>
      </c>
      <c r="AA290" s="4">
        <v>0.95555555555555605</v>
      </c>
      <c r="AB290" s="4">
        <v>0.96511627906976805</v>
      </c>
      <c r="AC290" s="4">
        <v>0.83000000000000096</v>
      </c>
      <c r="AD290" s="6">
        <v>500</v>
      </c>
      <c r="AE290" s="5">
        <v>4150</v>
      </c>
      <c r="AF290">
        <v>650</v>
      </c>
      <c r="AG290"/>
      <c r="AH290"/>
      <c r="AI290"/>
      <c r="AJ290"/>
    </row>
    <row r="291" spans="1:36" x14ac:dyDescent="0.25">
      <c r="A291">
        <v>290</v>
      </c>
      <c r="B291" s="1">
        <v>46050</v>
      </c>
      <c r="C291" s="1">
        <v>46050</v>
      </c>
      <c r="D291" s="2">
        <v>0.33333333333333331</v>
      </c>
      <c r="E291" s="2">
        <v>0.375</v>
      </c>
      <c r="F291" s="3" t="s">
        <v>27</v>
      </c>
      <c r="G291" s="3" t="s">
        <v>364</v>
      </c>
      <c r="H291" s="3" t="s">
        <v>117</v>
      </c>
      <c r="I291" s="3" t="s">
        <v>30</v>
      </c>
      <c r="J291" s="3" t="s">
        <v>31</v>
      </c>
      <c r="K291" s="3" t="s">
        <v>32</v>
      </c>
      <c r="L291" s="3" t="s">
        <v>33</v>
      </c>
      <c r="M291">
        <v>100</v>
      </c>
      <c r="N291">
        <v>36</v>
      </c>
      <c r="O291">
        <v>60</v>
      </c>
      <c r="P291">
        <v>0</v>
      </c>
      <c r="Q291" s="3" t="s">
        <v>39</v>
      </c>
      <c r="R291">
        <v>97</v>
      </c>
      <c r="S291">
        <v>96</v>
      </c>
      <c r="T291">
        <v>1</v>
      </c>
      <c r="U291" s="3" t="s">
        <v>35</v>
      </c>
      <c r="V291" s="3" t="s">
        <v>36</v>
      </c>
      <c r="W291">
        <v>50</v>
      </c>
      <c r="X291">
        <v>50</v>
      </c>
      <c r="Y291">
        <v>60</v>
      </c>
      <c r="Z291" s="4">
        <v>1</v>
      </c>
      <c r="AA291" s="4">
        <v>0.97</v>
      </c>
      <c r="AB291" s="4">
        <v>0.98969072164948402</v>
      </c>
      <c r="AC291" s="4">
        <v>0.96</v>
      </c>
      <c r="AD291" s="6">
        <v>0</v>
      </c>
      <c r="AE291" s="5">
        <v>4800</v>
      </c>
      <c r="AF291">
        <v>50</v>
      </c>
      <c r="AG291"/>
      <c r="AH291"/>
      <c r="AI291"/>
      <c r="AJ291"/>
    </row>
    <row r="292" spans="1:36" x14ac:dyDescent="0.25">
      <c r="A292">
        <v>291</v>
      </c>
      <c r="B292" s="1">
        <v>46050</v>
      </c>
      <c r="C292" s="1">
        <v>46050</v>
      </c>
      <c r="D292" s="2">
        <v>0.375</v>
      </c>
      <c r="E292" s="2">
        <v>0.41666666666666669</v>
      </c>
      <c r="F292" s="3" t="s">
        <v>27</v>
      </c>
      <c r="G292" s="3" t="s">
        <v>365</v>
      </c>
      <c r="H292" s="3" t="s">
        <v>38</v>
      </c>
      <c r="I292" s="3" t="s">
        <v>30</v>
      </c>
      <c r="J292" s="3" t="s">
        <v>31</v>
      </c>
      <c r="K292" s="3" t="s">
        <v>32</v>
      </c>
      <c r="L292" s="3" t="s">
        <v>33</v>
      </c>
      <c r="M292">
        <v>100</v>
      </c>
      <c r="N292">
        <v>36</v>
      </c>
      <c r="O292">
        <v>60</v>
      </c>
      <c r="P292">
        <v>15</v>
      </c>
      <c r="Q292" s="3" t="s">
        <v>41</v>
      </c>
      <c r="R292">
        <v>81</v>
      </c>
      <c r="S292">
        <v>74</v>
      </c>
      <c r="T292">
        <v>7</v>
      </c>
      <c r="U292" s="3" t="s">
        <v>42</v>
      </c>
      <c r="V292" s="3" t="s">
        <v>43</v>
      </c>
      <c r="W292">
        <v>50</v>
      </c>
      <c r="X292">
        <v>350</v>
      </c>
      <c r="Y292">
        <v>45</v>
      </c>
      <c r="Z292" s="4">
        <v>0.75</v>
      </c>
      <c r="AA292" s="4">
        <v>1.08</v>
      </c>
      <c r="AB292" s="4">
        <v>0.91358024691357997</v>
      </c>
      <c r="AC292" s="4">
        <v>0.74</v>
      </c>
      <c r="AD292" s="6">
        <v>1250</v>
      </c>
      <c r="AE292" s="5">
        <v>3700</v>
      </c>
      <c r="AF292">
        <v>1600</v>
      </c>
      <c r="AG292"/>
      <c r="AH292"/>
      <c r="AI292"/>
      <c r="AJ292"/>
    </row>
    <row r="293" spans="1:36" x14ac:dyDescent="0.25">
      <c r="A293">
        <v>292</v>
      </c>
      <c r="B293" s="1">
        <v>46050</v>
      </c>
      <c r="C293" s="1">
        <v>46050</v>
      </c>
      <c r="D293" s="2">
        <v>0.41666666666666669</v>
      </c>
      <c r="E293" s="2">
        <v>0.45833333333333331</v>
      </c>
      <c r="F293" s="3" t="s">
        <v>27</v>
      </c>
      <c r="G293" s="3" t="s">
        <v>366</v>
      </c>
      <c r="H293" s="3" t="s">
        <v>117</v>
      </c>
      <c r="I293" s="3" t="s">
        <v>45</v>
      </c>
      <c r="J293" s="3" t="s">
        <v>46</v>
      </c>
      <c r="K293" s="3" t="s">
        <v>47</v>
      </c>
      <c r="L293" s="3" t="s">
        <v>33</v>
      </c>
      <c r="M293">
        <v>120</v>
      </c>
      <c r="N293">
        <v>30</v>
      </c>
      <c r="O293">
        <v>60</v>
      </c>
      <c r="P293">
        <v>2</v>
      </c>
      <c r="Q293" s="3" t="s">
        <v>48</v>
      </c>
      <c r="R293">
        <v>108</v>
      </c>
      <c r="S293">
        <v>103</v>
      </c>
      <c r="T293">
        <v>5</v>
      </c>
      <c r="U293" s="3" t="s">
        <v>49</v>
      </c>
      <c r="V293" s="3" t="s">
        <v>50</v>
      </c>
      <c r="W293">
        <v>80</v>
      </c>
      <c r="X293">
        <v>400</v>
      </c>
      <c r="Y293">
        <v>58</v>
      </c>
      <c r="Z293" s="4">
        <v>0.96666666666666701</v>
      </c>
      <c r="AA293" s="4">
        <v>0.931034482758621</v>
      </c>
      <c r="AB293" s="4">
        <v>0.95370370370370405</v>
      </c>
      <c r="AC293" s="4">
        <v>0.85833333333333395</v>
      </c>
      <c r="AD293" s="6">
        <v>320</v>
      </c>
      <c r="AE293" s="5">
        <v>8240</v>
      </c>
      <c r="AF293">
        <v>720</v>
      </c>
      <c r="AG293"/>
      <c r="AH293"/>
      <c r="AI293"/>
      <c r="AJ293"/>
    </row>
    <row r="294" spans="1:36" x14ac:dyDescent="0.25">
      <c r="A294">
        <v>293</v>
      </c>
      <c r="B294" s="1">
        <v>46050</v>
      </c>
      <c r="C294" s="1">
        <v>46050</v>
      </c>
      <c r="D294" s="2">
        <v>0.45833333333333331</v>
      </c>
      <c r="E294" s="2">
        <v>0.5</v>
      </c>
      <c r="F294" s="3" t="s">
        <v>27</v>
      </c>
      <c r="G294" s="3" t="s">
        <v>367</v>
      </c>
      <c r="H294" s="3" t="s">
        <v>58</v>
      </c>
      <c r="I294" s="3" t="s">
        <v>45</v>
      </c>
      <c r="J294" s="3" t="s">
        <v>46</v>
      </c>
      <c r="K294" s="3" t="s">
        <v>47</v>
      </c>
      <c r="L294" s="3" t="s">
        <v>33</v>
      </c>
      <c r="M294">
        <v>120</v>
      </c>
      <c r="N294">
        <v>30</v>
      </c>
      <c r="O294">
        <v>60</v>
      </c>
      <c r="P294">
        <v>0</v>
      </c>
      <c r="Q294" s="3" t="s">
        <v>39</v>
      </c>
      <c r="R294">
        <v>110</v>
      </c>
      <c r="S294">
        <v>110</v>
      </c>
      <c r="T294">
        <v>0</v>
      </c>
      <c r="U294" s="3" t="s">
        <v>49</v>
      </c>
      <c r="V294" s="3" t="s">
        <v>50</v>
      </c>
      <c r="W294">
        <v>80</v>
      </c>
      <c r="X294">
        <v>0</v>
      </c>
      <c r="Y294">
        <v>60</v>
      </c>
      <c r="Z294" s="4">
        <v>1</v>
      </c>
      <c r="AA294" s="4">
        <v>0.91666666666666596</v>
      </c>
      <c r="AB294" s="4">
        <v>1</v>
      </c>
      <c r="AC294" s="4">
        <v>0.91666666666666596</v>
      </c>
      <c r="AD294" s="6">
        <v>0</v>
      </c>
      <c r="AE294" s="5">
        <v>8800</v>
      </c>
      <c r="AF294">
        <v>0</v>
      </c>
      <c r="AG294"/>
      <c r="AH294"/>
      <c r="AI294"/>
      <c r="AJ294"/>
    </row>
    <row r="295" spans="1:36" x14ac:dyDescent="0.25">
      <c r="A295">
        <v>294</v>
      </c>
      <c r="B295" s="1">
        <v>46050</v>
      </c>
      <c r="C295" s="1">
        <v>46050</v>
      </c>
      <c r="D295" s="2">
        <v>0.5</v>
      </c>
      <c r="E295" s="2">
        <v>0.54166666666666663</v>
      </c>
      <c r="F295" s="3" t="s">
        <v>27</v>
      </c>
      <c r="G295" s="3" t="s">
        <v>368</v>
      </c>
      <c r="H295" s="3" t="s">
        <v>29</v>
      </c>
      <c r="I295" s="3" t="s">
        <v>45</v>
      </c>
      <c r="J295" s="3" t="s">
        <v>46</v>
      </c>
      <c r="K295" s="3" t="s">
        <v>47</v>
      </c>
      <c r="L295" s="3" t="s">
        <v>33</v>
      </c>
      <c r="M295">
        <v>120</v>
      </c>
      <c r="N295">
        <v>30</v>
      </c>
      <c r="O295">
        <v>60</v>
      </c>
      <c r="P295">
        <v>3</v>
      </c>
      <c r="Q295" s="3" t="s">
        <v>53</v>
      </c>
      <c r="R295">
        <v>87</v>
      </c>
      <c r="S295">
        <v>79</v>
      </c>
      <c r="T295">
        <v>8</v>
      </c>
      <c r="U295" s="3" t="s">
        <v>54</v>
      </c>
      <c r="V295" s="3" t="s">
        <v>55</v>
      </c>
      <c r="W295">
        <v>80</v>
      </c>
      <c r="X295">
        <v>640</v>
      </c>
      <c r="Y295">
        <v>57</v>
      </c>
      <c r="Z295" s="4">
        <v>0.95</v>
      </c>
      <c r="AA295" s="4">
        <v>0.76315789473684204</v>
      </c>
      <c r="AB295" s="4">
        <v>0.90804597701149403</v>
      </c>
      <c r="AC295" s="4">
        <v>0.65833333333333299</v>
      </c>
      <c r="AD295" s="6">
        <v>480</v>
      </c>
      <c r="AE295" s="5">
        <v>6320</v>
      </c>
      <c r="AF295">
        <v>1120</v>
      </c>
      <c r="AG295"/>
      <c r="AH295"/>
      <c r="AI295"/>
      <c r="AJ295"/>
    </row>
    <row r="296" spans="1:36" x14ac:dyDescent="0.25">
      <c r="A296">
        <v>295</v>
      </c>
      <c r="B296" s="1">
        <v>46050</v>
      </c>
      <c r="C296" s="1">
        <v>46050</v>
      </c>
      <c r="D296" s="2">
        <v>0.54166666666666663</v>
      </c>
      <c r="E296" s="2">
        <v>0.58333333333333337</v>
      </c>
      <c r="F296" s="3" t="s">
        <v>56</v>
      </c>
      <c r="G296" s="3" t="s">
        <v>369</v>
      </c>
      <c r="H296" s="3" t="s">
        <v>67</v>
      </c>
      <c r="I296" s="3" t="s">
        <v>59</v>
      </c>
      <c r="J296" s="3" t="s">
        <v>60</v>
      </c>
      <c r="K296" s="3" t="s">
        <v>61</v>
      </c>
      <c r="L296" s="3" t="s">
        <v>62</v>
      </c>
      <c r="M296">
        <v>80</v>
      </c>
      <c r="N296">
        <v>45</v>
      </c>
      <c r="O296">
        <v>60</v>
      </c>
      <c r="P296">
        <v>10</v>
      </c>
      <c r="Q296" s="3" t="s">
        <v>34</v>
      </c>
      <c r="R296">
        <v>69</v>
      </c>
      <c r="S296">
        <v>69</v>
      </c>
      <c r="T296">
        <v>0</v>
      </c>
      <c r="U296" s="3" t="s">
        <v>63</v>
      </c>
      <c r="V296" s="3" t="s">
        <v>64</v>
      </c>
      <c r="W296">
        <v>120</v>
      </c>
      <c r="X296">
        <v>0</v>
      </c>
      <c r="Y296">
        <v>50</v>
      </c>
      <c r="Z296" s="4">
        <v>0.83333333333333404</v>
      </c>
      <c r="AA296" s="4">
        <v>1.0349999999999999</v>
      </c>
      <c r="AB296" s="4">
        <v>1</v>
      </c>
      <c r="AC296" s="4">
        <v>0.86250000000000104</v>
      </c>
      <c r="AD296" s="6">
        <v>1600</v>
      </c>
      <c r="AE296" s="5">
        <v>8280</v>
      </c>
      <c r="AF296">
        <v>1600</v>
      </c>
      <c r="AG296"/>
      <c r="AH296"/>
      <c r="AI296"/>
      <c r="AJ296"/>
    </row>
    <row r="297" spans="1:36" x14ac:dyDescent="0.25">
      <c r="A297">
        <v>296</v>
      </c>
      <c r="B297" s="1">
        <v>46050</v>
      </c>
      <c r="C297" s="1">
        <v>46050</v>
      </c>
      <c r="D297" s="2">
        <v>0.58333333333333337</v>
      </c>
      <c r="E297" s="2">
        <v>0.625</v>
      </c>
      <c r="F297" s="3" t="s">
        <v>56</v>
      </c>
      <c r="G297" s="3" t="s">
        <v>370</v>
      </c>
      <c r="H297" s="3" t="s">
        <v>67</v>
      </c>
      <c r="I297" s="3" t="s">
        <v>59</v>
      </c>
      <c r="J297" s="3" t="s">
        <v>60</v>
      </c>
      <c r="K297" s="3" t="s">
        <v>61</v>
      </c>
      <c r="L297" s="3" t="s">
        <v>62</v>
      </c>
      <c r="M297">
        <v>80</v>
      </c>
      <c r="N297">
        <v>45</v>
      </c>
      <c r="O297">
        <v>60</v>
      </c>
      <c r="P297">
        <v>0</v>
      </c>
      <c r="Q297" s="3" t="s">
        <v>39</v>
      </c>
      <c r="R297">
        <v>73</v>
      </c>
      <c r="S297">
        <v>30</v>
      </c>
      <c r="T297">
        <v>43</v>
      </c>
      <c r="U297" s="3" t="s">
        <v>63</v>
      </c>
      <c r="V297" s="3" t="s">
        <v>64</v>
      </c>
      <c r="W297">
        <v>120</v>
      </c>
      <c r="X297">
        <v>5160</v>
      </c>
      <c r="Y297">
        <v>60</v>
      </c>
      <c r="Z297" s="4">
        <v>1</v>
      </c>
      <c r="AA297" s="4">
        <v>0.91249999999999998</v>
      </c>
      <c r="AB297" s="4">
        <v>0.41095890410958902</v>
      </c>
      <c r="AC297" s="4">
        <v>0.375</v>
      </c>
      <c r="AD297" s="6">
        <v>0</v>
      </c>
      <c r="AE297" s="5">
        <v>3600</v>
      </c>
      <c r="AF297">
        <v>5160</v>
      </c>
      <c r="AG297"/>
      <c r="AH297"/>
      <c r="AI297"/>
      <c r="AJ297"/>
    </row>
    <row r="298" spans="1:36" x14ac:dyDescent="0.25">
      <c r="A298">
        <v>297</v>
      </c>
      <c r="B298" s="1">
        <v>46050</v>
      </c>
      <c r="C298" s="1">
        <v>46050</v>
      </c>
      <c r="D298" s="2">
        <v>0.625</v>
      </c>
      <c r="E298" s="2">
        <v>0.66666666666666663</v>
      </c>
      <c r="F298" s="3" t="s">
        <v>56</v>
      </c>
      <c r="G298" s="3" t="s">
        <v>371</v>
      </c>
      <c r="H298" s="3" t="s">
        <v>117</v>
      </c>
      <c r="I298" s="3" t="s">
        <v>59</v>
      </c>
      <c r="J298" s="3" t="s">
        <v>60</v>
      </c>
      <c r="K298" s="3" t="s">
        <v>61</v>
      </c>
      <c r="L298" s="3" t="s">
        <v>62</v>
      </c>
      <c r="M298">
        <v>80</v>
      </c>
      <c r="N298">
        <v>45</v>
      </c>
      <c r="O298">
        <v>60</v>
      </c>
      <c r="P298">
        <v>38</v>
      </c>
      <c r="Q298" s="3" t="s">
        <v>68</v>
      </c>
      <c r="R298">
        <v>50</v>
      </c>
      <c r="S298">
        <v>30</v>
      </c>
      <c r="T298">
        <v>20</v>
      </c>
      <c r="U298" s="3" t="s">
        <v>69</v>
      </c>
      <c r="V298" s="3" t="s">
        <v>70</v>
      </c>
      <c r="W298">
        <v>120</v>
      </c>
      <c r="X298">
        <v>2400</v>
      </c>
      <c r="Y298">
        <v>22</v>
      </c>
      <c r="Z298" s="4">
        <v>0.36666666666666697</v>
      </c>
      <c r="AA298" s="4">
        <v>1.7045454545454499</v>
      </c>
      <c r="AB298" s="4">
        <v>0.6</v>
      </c>
      <c r="AC298" s="4">
        <v>0.374999999999999</v>
      </c>
      <c r="AD298" s="6">
        <v>6080</v>
      </c>
      <c r="AE298" s="5">
        <v>3600</v>
      </c>
      <c r="AF298">
        <v>8480</v>
      </c>
      <c r="AG298"/>
      <c r="AH298"/>
      <c r="AI298"/>
      <c r="AJ298"/>
    </row>
    <row r="299" spans="1:36" x14ac:dyDescent="0.25">
      <c r="A299">
        <v>298</v>
      </c>
      <c r="B299" s="1">
        <v>46050</v>
      </c>
      <c r="C299" s="1">
        <v>46050</v>
      </c>
      <c r="D299" s="2">
        <v>0.66666666666666663</v>
      </c>
      <c r="E299" s="2">
        <v>0.70833333333333337</v>
      </c>
      <c r="F299" s="3" t="s">
        <v>56</v>
      </c>
      <c r="G299" s="3" t="s">
        <v>372</v>
      </c>
      <c r="H299" s="3" t="s">
        <v>80</v>
      </c>
      <c r="I299" s="3" t="s">
        <v>30</v>
      </c>
      <c r="J299" s="3" t="s">
        <v>31</v>
      </c>
      <c r="K299" s="3" t="s">
        <v>32</v>
      </c>
      <c r="L299" s="3" t="s">
        <v>33</v>
      </c>
      <c r="M299">
        <v>100</v>
      </c>
      <c r="N299">
        <v>36</v>
      </c>
      <c r="O299">
        <v>60</v>
      </c>
      <c r="P299">
        <v>7</v>
      </c>
      <c r="Q299" s="3" t="s">
        <v>34</v>
      </c>
      <c r="R299">
        <v>94</v>
      </c>
      <c r="S299">
        <v>91</v>
      </c>
      <c r="T299">
        <v>3</v>
      </c>
      <c r="U299" s="3" t="s">
        <v>72</v>
      </c>
      <c r="V299" s="3" t="s">
        <v>73</v>
      </c>
      <c r="W299">
        <v>50</v>
      </c>
      <c r="X299">
        <v>150</v>
      </c>
      <c r="Y299">
        <v>53</v>
      </c>
      <c r="Z299" s="4">
        <v>0.88333333333333297</v>
      </c>
      <c r="AA299" s="4">
        <v>1.06415094339623</v>
      </c>
      <c r="AB299" s="4">
        <v>0.96808510638297895</v>
      </c>
      <c r="AC299" s="4">
        <v>0.91000000000000303</v>
      </c>
      <c r="AD299" s="6">
        <v>583.33330000000001</v>
      </c>
      <c r="AE299" s="5">
        <v>4550</v>
      </c>
      <c r="AF299">
        <v>733.33330000000001</v>
      </c>
      <c r="AG299"/>
      <c r="AH299"/>
      <c r="AI299"/>
      <c r="AJ299"/>
    </row>
    <row r="300" spans="1:36" x14ac:dyDescent="0.25">
      <c r="A300">
        <v>299</v>
      </c>
      <c r="B300" s="1">
        <v>46050</v>
      </c>
      <c r="C300" s="1">
        <v>46050</v>
      </c>
      <c r="D300" s="2">
        <v>0.70833333333333337</v>
      </c>
      <c r="E300" s="2">
        <v>0.75</v>
      </c>
      <c r="F300" s="3" t="s">
        <v>56</v>
      </c>
      <c r="G300" s="3" t="s">
        <v>373</v>
      </c>
      <c r="H300" s="3" t="s">
        <v>91</v>
      </c>
      <c r="I300" s="3" t="s">
        <v>30</v>
      </c>
      <c r="J300" s="3" t="s">
        <v>31</v>
      </c>
      <c r="K300" s="3" t="s">
        <v>32</v>
      </c>
      <c r="L300" s="3" t="s">
        <v>33</v>
      </c>
      <c r="M300">
        <v>100</v>
      </c>
      <c r="N300">
        <v>36</v>
      </c>
      <c r="O300">
        <v>60</v>
      </c>
      <c r="P300">
        <v>0</v>
      </c>
      <c r="Q300" s="3" t="s">
        <v>39</v>
      </c>
      <c r="R300">
        <v>98</v>
      </c>
      <c r="S300">
        <v>97</v>
      </c>
      <c r="T300">
        <v>1</v>
      </c>
      <c r="U300" s="3" t="s">
        <v>75</v>
      </c>
      <c r="V300" s="3" t="s">
        <v>76</v>
      </c>
      <c r="W300">
        <v>50</v>
      </c>
      <c r="X300">
        <v>50</v>
      </c>
      <c r="Y300">
        <v>60</v>
      </c>
      <c r="Z300" s="4">
        <v>1</v>
      </c>
      <c r="AA300" s="4">
        <v>0.98</v>
      </c>
      <c r="AB300" s="4">
        <v>0.98979591836734704</v>
      </c>
      <c r="AC300" s="4">
        <v>0.97</v>
      </c>
      <c r="AD300" s="6">
        <v>0</v>
      </c>
      <c r="AE300" s="5">
        <v>4850</v>
      </c>
      <c r="AF300">
        <v>50</v>
      </c>
      <c r="AG300"/>
      <c r="AH300"/>
      <c r="AI300"/>
      <c r="AJ300"/>
    </row>
    <row r="301" spans="1:36" x14ac:dyDescent="0.25">
      <c r="A301">
        <v>300</v>
      </c>
      <c r="B301" s="1">
        <v>46050</v>
      </c>
      <c r="C301" s="1">
        <v>46050</v>
      </c>
      <c r="D301" s="2">
        <v>0.70833333333333337</v>
      </c>
      <c r="E301" s="2">
        <v>0.75</v>
      </c>
      <c r="F301" s="3" t="s">
        <v>56</v>
      </c>
      <c r="G301" s="3" t="s">
        <v>374</v>
      </c>
      <c r="H301" s="3" t="s">
        <v>58</v>
      </c>
      <c r="I301" s="3" t="s">
        <v>30</v>
      </c>
      <c r="J301" s="3" t="s">
        <v>31</v>
      </c>
      <c r="K301" s="3" t="s">
        <v>32</v>
      </c>
      <c r="L301" s="3" t="s">
        <v>33</v>
      </c>
      <c r="M301">
        <v>100</v>
      </c>
      <c r="N301">
        <v>36</v>
      </c>
      <c r="O301">
        <v>60</v>
      </c>
      <c r="P301">
        <v>3</v>
      </c>
      <c r="Q301" s="3" t="s">
        <v>78</v>
      </c>
      <c r="R301">
        <v>91</v>
      </c>
      <c r="S301">
        <v>91</v>
      </c>
      <c r="T301">
        <v>0</v>
      </c>
      <c r="U301" s="3" t="s">
        <v>75</v>
      </c>
      <c r="V301" s="3" t="s">
        <v>76</v>
      </c>
      <c r="W301">
        <v>50</v>
      </c>
      <c r="X301">
        <v>0</v>
      </c>
      <c r="Y301">
        <v>57</v>
      </c>
      <c r="Z301" s="4">
        <v>0.95</v>
      </c>
      <c r="AA301" s="4">
        <v>0.95789473684210502</v>
      </c>
      <c r="AB301" s="4">
        <v>1</v>
      </c>
      <c r="AC301" s="4">
        <v>0.91</v>
      </c>
      <c r="AD301" s="6">
        <v>250</v>
      </c>
      <c r="AE301" s="5">
        <v>4550</v>
      </c>
      <c r="AF301">
        <v>250</v>
      </c>
      <c r="AG301"/>
      <c r="AH301"/>
      <c r="AI301"/>
      <c r="AJ301"/>
    </row>
    <row r="302" spans="1:36" x14ac:dyDescent="0.25">
      <c r="A302">
        <v>301</v>
      </c>
      <c r="B302" s="1">
        <v>46051</v>
      </c>
      <c r="C302" s="1">
        <v>46051</v>
      </c>
      <c r="D302" s="2">
        <v>0.29166666666666669</v>
      </c>
      <c r="E302" s="2">
        <v>0.33333333333333331</v>
      </c>
      <c r="F302" s="3" t="s">
        <v>27</v>
      </c>
      <c r="G302" s="3" t="s">
        <v>75</v>
      </c>
      <c r="H302" s="3" t="s">
        <v>84</v>
      </c>
      <c r="I302" s="3" t="s">
        <v>45</v>
      </c>
      <c r="J302" s="3" t="s">
        <v>46</v>
      </c>
      <c r="K302" s="3" t="s">
        <v>47</v>
      </c>
      <c r="L302" s="3" t="s">
        <v>33</v>
      </c>
      <c r="M302">
        <v>120</v>
      </c>
      <c r="N302">
        <v>30</v>
      </c>
      <c r="O302">
        <v>60</v>
      </c>
      <c r="P302">
        <v>0</v>
      </c>
      <c r="Q302" s="3" t="s">
        <v>39</v>
      </c>
      <c r="R302">
        <v>115</v>
      </c>
      <c r="S302">
        <v>109</v>
      </c>
      <c r="T302">
        <v>6</v>
      </c>
      <c r="U302" s="3" t="s">
        <v>35</v>
      </c>
      <c r="V302" s="3" t="s">
        <v>36</v>
      </c>
      <c r="W302">
        <v>80</v>
      </c>
      <c r="X302">
        <v>480</v>
      </c>
      <c r="Y302">
        <v>60</v>
      </c>
      <c r="Z302" s="4">
        <v>1</v>
      </c>
      <c r="AA302" s="4">
        <v>0.95833333333333404</v>
      </c>
      <c r="AB302" s="4">
        <v>0.94782608695652204</v>
      </c>
      <c r="AC302" s="4">
        <v>0.90833333333333399</v>
      </c>
      <c r="AD302" s="6">
        <v>0</v>
      </c>
      <c r="AE302" s="5">
        <v>8720</v>
      </c>
      <c r="AF302">
        <v>480</v>
      </c>
      <c r="AG302"/>
      <c r="AH302"/>
      <c r="AI302"/>
      <c r="AJ302"/>
    </row>
    <row r="303" spans="1:36" x14ac:dyDescent="0.25">
      <c r="A303">
        <v>302</v>
      </c>
      <c r="B303" s="1">
        <v>46051</v>
      </c>
      <c r="C303" s="1">
        <v>46051</v>
      </c>
      <c r="D303" s="2">
        <v>0.33333333333333331</v>
      </c>
      <c r="E303" s="2">
        <v>0.375</v>
      </c>
      <c r="F303" s="3" t="s">
        <v>27</v>
      </c>
      <c r="G303" s="3" t="s">
        <v>99</v>
      </c>
      <c r="H303" s="3" t="s">
        <v>38</v>
      </c>
      <c r="I303" s="3" t="s">
        <v>45</v>
      </c>
      <c r="J303" s="3" t="s">
        <v>46</v>
      </c>
      <c r="K303" s="3" t="s">
        <v>47</v>
      </c>
      <c r="L303" s="3" t="s">
        <v>33</v>
      </c>
      <c r="M303">
        <v>120</v>
      </c>
      <c r="N303">
        <v>30</v>
      </c>
      <c r="O303">
        <v>60</v>
      </c>
      <c r="P303">
        <v>18</v>
      </c>
      <c r="Q303" s="3" t="s">
        <v>82</v>
      </c>
      <c r="R303">
        <v>0</v>
      </c>
      <c r="S303">
        <v>0</v>
      </c>
      <c r="T303">
        <v>0</v>
      </c>
      <c r="U303" s="3" t="s">
        <v>42</v>
      </c>
      <c r="V303" s="3" t="s">
        <v>43</v>
      </c>
      <c r="W303">
        <v>80</v>
      </c>
      <c r="X303">
        <v>0</v>
      </c>
      <c r="Y303">
        <v>42</v>
      </c>
      <c r="Z303" s="4">
        <v>0.7</v>
      </c>
      <c r="AA303" s="4">
        <v>0</v>
      </c>
      <c r="AB303" s="4">
        <v>0</v>
      </c>
      <c r="AC303" s="4">
        <v>0</v>
      </c>
      <c r="AD303" s="6">
        <v>2880</v>
      </c>
      <c r="AE303" s="5">
        <v>0</v>
      </c>
      <c r="AF303">
        <v>2880</v>
      </c>
      <c r="AG303"/>
      <c r="AH303"/>
      <c r="AI303"/>
      <c r="AJ303"/>
    </row>
    <row r="304" spans="1:36" x14ac:dyDescent="0.25">
      <c r="A304">
        <v>303</v>
      </c>
      <c r="B304" s="1">
        <v>46051</v>
      </c>
      <c r="C304" s="1">
        <v>46051</v>
      </c>
      <c r="D304" s="2">
        <v>0.375</v>
      </c>
      <c r="E304" s="2">
        <v>0.41666666666666669</v>
      </c>
      <c r="F304" s="3" t="s">
        <v>27</v>
      </c>
      <c r="G304" s="3" t="s">
        <v>375</v>
      </c>
      <c r="H304" s="3" t="s">
        <v>80</v>
      </c>
      <c r="I304" s="3" t="s">
        <v>45</v>
      </c>
      <c r="J304" s="3" t="s">
        <v>46</v>
      </c>
      <c r="K304" s="3" t="s">
        <v>47</v>
      </c>
      <c r="L304" s="3" t="s">
        <v>33</v>
      </c>
      <c r="M304">
        <v>120</v>
      </c>
      <c r="N304">
        <v>30</v>
      </c>
      <c r="O304">
        <v>60</v>
      </c>
      <c r="P304">
        <v>2</v>
      </c>
      <c r="Q304" s="3" t="s">
        <v>85</v>
      </c>
      <c r="R304">
        <v>103</v>
      </c>
      <c r="S304">
        <v>100</v>
      </c>
      <c r="T304">
        <v>3</v>
      </c>
      <c r="U304" s="3" t="s">
        <v>42</v>
      </c>
      <c r="V304" s="3" t="s">
        <v>43</v>
      </c>
      <c r="W304">
        <v>80</v>
      </c>
      <c r="X304">
        <v>240</v>
      </c>
      <c r="Y304">
        <v>58</v>
      </c>
      <c r="Z304" s="4">
        <v>0.96666666666666701</v>
      </c>
      <c r="AA304" s="4">
        <v>0.88793103448275901</v>
      </c>
      <c r="AB304" s="4">
        <v>0.970873786407767</v>
      </c>
      <c r="AC304" s="4">
        <v>0.83333333333333404</v>
      </c>
      <c r="AD304" s="6">
        <v>320</v>
      </c>
      <c r="AE304" s="5">
        <v>8000</v>
      </c>
      <c r="AF304">
        <v>560</v>
      </c>
      <c r="AG304"/>
      <c r="AH304"/>
      <c r="AI304"/>
      <c r="AJ304"/>
    </row>
    <row r="305" spans="1:36" x14ac:dyDescent="0.25">
      <c r="A305">
        <v>304</v>
      </c>
      <c r="B305" s="1">
        <v>46051</v>
      </c>
      <c r="C305" s="1">
        <v>46051</v>
      </c>
      <c r="D305" s="2">
        <v>0.41666666666666669</v>
      </c>
      <c r="E305" s="2">
        <v>0.45833333333333331</v>
      </c>
      <c r="F305" s="3" t="s">
        <v>27</v>
      </c>
      <c r="G305" s="3" t="s">
        <v>376</v>
      </c>
      <c r="H305" s="3" t="s">
        <v>98</v>
      </c>
      <c r="I305" s="3" t="s">
        <v>59</v>
      </c>
      <c r="J305" s="3" t="s">
        <v>60</v>
      </c>
      <c r="K305" s="3" t="s">
        <v>61</v>
      </c>
      <c r="L305" s="3" t="s">
        <v>62</v>
      </c>
      <c r="M305">
        <v>80</v>
      </c>
      <c r="N305">
        <v>45</v>
      </c>
      <c r="O305">
        <v>60</v>
      </c>
      <c r="P305">
        <v>0</v>
      </c>
      <c r="Q305" s="3" t="s">
        <v>39</v>
      </c>
      <c r="R305">
        <v>87</v>
      </c>
      <c r="S305">
        <v>79</v>
      </c>
      <c r="T305">
        <v>8</v>
      </c>
      <c r="U305" s="3" t="s">
        <v>49</v>
      </c>
      <c r="V305" s="3" t="s">
        <v>50</v>
      </c>
      <c r="W305">
        <v>120</v>
      </c>
      <c r="X305">
        <v>960</v>
      </c>
      <c r="Y305">
        <v>60</v>
      </c>
      <c r="Z305" s="4">
        <v>1</v>
      </c>
      <c r="AA305" s="4">
        <v>1.0874999999999999</v>
      </c>
      <c r="AB305" s="4">
        <v>0.90804597701149403</v>
      </c>
      <c r="AC305" s="4">
        <v>0.98750000000000004</v>
      </c>
      <c r="AD305" s="6">
        <v>0</v>
      </c>
      <c r="AE305" s="5">
        <v>9480</v>
      </c>
      <c r="AF305">
        <v>960</v>
      </c>
      <c r="AG305"/>
      <c r="AH305"/>
      <c r="AI305"/>
      <c r="AJ305"/>
    </row>
    <row r="306" spans="1:36" x14ac:dyDescent="0.25">
      <c r="A306">
        <v>305</v>
      </c>
      <c r="B306" s="1">
        <v>46051</v>
      </c>
      <c r="C306" s="1">
        <v>46051</v>
      </c>
      <c r="D306" s="2">
        <v>0.45833333333333331</v>
      </c>
      <c r="E306" s="2">
        <v>0.5</v>
      </c>
      <c r="F306" s="3" t="s">
        <v>27</v>
      </c>
      <c r="G306" s="3" t="s">
        <v>377</v>
      </c>
      <c r="H306" s="3" t="s">
        <v>38</v>
      </c>
      <c r="I306" s="3" t="s">
        <v>59</v>
      </c>
      <c r="J306" s="3" t="s">
        <v>60</v>
      </c>
      <c r="K306" s="3" t="s">
        <v>61</v>
      </c>
      <c r="L306" s="3" t="s">
        <v>62</v>
      </c>
      <c r="M306">
        <v>80</v>
      </c>
      <c r="N306">
        <v>45</v>
      </c>
      <c r="O306">
        <v>60</v>
      </c>
      <c r="P306">
        <v>15</v>
      </c>
      <c r="Q306" s="3" t="s">
        <v>88</v>
      </c>
      <c r="R306">
        <v>62</v>
      </c>
      <c r="S306">
        <v>62</v>
      </c>
      <c r="T306">
        <v>0</v>
      </c>
      <c r="U306" s="3" t="s">
        <v>54</v>
      </c>
      <c r="V306" s="3" t="s">
        <v>55</v>
      </c>
      <c r="W306">
        <v>120</v>
      </c>
      <c r="X306">
        <v>0</v>
      </c>
      <c r="Y306">
        <v>45</v>
      </c>
      <c r="Z306" s="4">
        <v>0.75</v>
      </c>
      <c r="AA306" s="4">
        <v>1.0333333333333301</v>
      </c>
      <c r="AB306" s="4">
        <v>1</v>
      </c>
      <c r="AC306" s="4">
        <v>0.77499999999999802</v>
      </c>
      <c r="AD306" s="6">
        <v>2400</v>
      </c>
      <c r="AE306" s="5">
        <v>7440</v>
      </c>
      <c r="AF306">
        <v>2400</v>
      </c>
      <c r="AG306"/>
      <c r="AH306"/>
      <c r="AI306"/>
      <c r="AJ306"/>
    </row>
    <row r="307" spans="1:36" x14ac:dyDescent="0.25">
      <c r="A307">
        <v>306</v>
      </c>
      <c r="B307" s="1">
        <v>46051</v>
      </c>
      <c r="C307" s="1">
        <v>46051</v>
      </c>
      <c r="D307" s="2">
        <v>0.5</v>
      </c>
      <c r="E307" s="2">
        <v>0.54166666666666663</v>
      </c>
      <c r="F307" s="3" t="s">
        <v>56</v>
      </c>
      <c r="G307" s="3" t="s">
        <v>378</v>
      </c>
      <c r="H307" s="3" t="s">
        <v>67</v>
      </c>
      <c r="I307" s="3" t="s">
        <v>30</v>
      </c>
      <c r="J307" s="3" t="s">
        <v>31</v>
      </c>
      <c r="K307" s="3" t="s">
        <v>32</v>
      </c>
      <c r="L307" s="3" t="s">
        <v>33</v>
      </c>
      <c r="M307">
        <v>100</v>
      </c>
      <c r="N307">
        <v>36</v>
      </c>
      <c r="O307">
        <v>60</v>
      </c>
      <c r="P307">
        <v>0</v>
      </c>
      <c r="Q307" s="3" t="s">
        <v>39</v>
      </c>
      <c r="R307">
        <v>93</v>
      </c>
      <c r="S307">
        <v>91</v>
      </c>
      <c r="T307">
        <v>2</v>
      </c>
      <c r="U307" s="3" t="s">
        <v>63</v>
      </c>
      <c r="V307" s="3" t="s">
        <v>64</v>
      </c>
      <c r="W307">
        <v>50</v>
      </c>
      <c r="X307">
        <v>100</v>
      </c>
      <c r="Y307">
        <v>60</v>
      </c>
      <c r="Z307" s="4">
        <v>1</v>
      </c>
      <c r="AA307" s="4">
        <v>0.93</v>
      </c>
      <c r="AB307" s="4">
        <v>0.978494623655914</v>
      </c>
      <c r="AC307" s="4">
        <v>0.91</v>
      </c>
      <c r="AD307" s="6">
        <v>0</v>
      </c>
      <c r="AE307" s="5">
        <v>4550</v>
      </c>
      <c r="AF307">
        <v>100</v>
      </c>
      <c r="AG307"/>
      <c r="AH307"/>
      <c r="AI307"/>
      <c r="AJ307"/>
    </row>
    <row r="308" spans="1:36" x14ac:dyDescent="0.25">
      <c r="A308">
        <v>307</v>
      </c>
      <c r="B308" s="1">
        <v>46051</v>
      </c>
      <c r="C308" s="1">
        <v>46051</v>
      </c>
      <c r="D308" s="2">
        <v>0.54166666666666663</v>
      </c>
      <c r="E308" s="2">
        <v>0.58333333333333337</v>
      </c>
      <c r="F308" s="3" t="s">
        <v>56</v>
      </c>
      <c r="G308" s="3" t="s">
        <v>379</v>
      </c>
      <c r="H308" s="3" t="s">
        <v>58</v>
      </c>
      <c r="I308" s="3" t="s">
        <v>30</v>
      </c>
      <c r="J308" s="3" t="s">
        <v>31</v>
      </c>
      <c r="K308" s="3" t="s">
        <v>32</v>
      </c>
      <c r="L308" s="3" t="s">
        <v>33</v>
      </c>
      <c r="M308">
        <v>100</v>
      </c>
      <c r="N308">
        <v>36</v>
      </c>
      <c r="O308">
        <v>60</v>
      </c>
      <c r="P308">
        <v>6</v>
      </c>
      <c r="Q308" s="3" t="s">
        <v>92</v>
      </c>
      <c r="R308">
        <v>97</v>
      </c>
      <c r="S308">
        <v>97</v>
      </c>
      <c r="T308">
        <v>0</v>
      </c>
      <c r="U308" s="3" t="s">
        <v>69</v>
      </c>
      <c r="V308" s="3" t="s">
        <v>70</v>
      </c>
      <c r="W308">
        <v>50</v>
      </c>
      <c r="X308">
        <v>0</v>
      </c>
      <c r="Y308">
        <v>54</v>
      </c>
      <c r="Z308" s="4">
        <v>0.9</v>
      </c>
      <c r="AA308" s="4">
        <v>1.0777777777777799</v>
      </c>
      <c r="AB308" s="4">
        <v>1</v>
      </c>
      <c r="AC308" s="4">
        <v>0.97000000000000197</v>
      </c>
      <c r="AD308" s="6">
        <v>500</v>
      </c>
      <c r="AE308" s="5">
        <v>4850</v>
      </c>
      <c r="AF308">
        <v>500</v>
      </c>
      <c r="AG308"/>
      <c r="AH308"/>
      <c r="AI308"/>
      <c r="AJ308"/>
    </row>
    <row r="309" spans="1:36" x14ac:dyDescent="0.25">
      <c r="A309">
        <v>308</v>
      </c>
      <c r="B309" s="1">
        <v>46051</v>
      </c>
      <c r="C309" s="1">
        <v>46051</v>
      </c>
      <c r="D309" s="2">
        <v>0.58333333333333337</v>
      </c>
      <c r="E309" s="2">
        <v>0.625</v>
      </c>
      <c r="F309" s="3" t="s">
        <v>56</v>
      </c>
      <c r="G309" s="3" t="s">
        <v>380</v>
      </c>
      <c r="H309" s="3" t="s">
        <v>29</v>
      </c>
      <c r="I309" s="3" t="s">
        <v>45</v>
      </c>
      <c r="J309" s="3" t="s">
        <v>46</v>
      </c>
      <c r="K309" s="3" t="s">
        <v>47</v>
      </c>
      <c r="L309" s="3" t="s">
        <v>33</v>
      </c>
      <c r="M309">
        <v>120</v>
      </c>
      <c r="N309">
        <v>30</v>
      </c>
      <c r="O309">
        <v>60</v>
      </c>
      <c r="P309">
        <v>0</v>
      </c>
      <c r="Q309" s="3" t="s">
        <v>39</v>
      </c>
      <c r="R309">
        <v>118</v>
      </c>
      <c r="S309">
        <v>112</v>
      </c>
      <c r="T309">
        <v>6</v>
      </c>
      <c r="U309" s="3" t="s">
        <v>72</v>
      </c>
      <c r="V309" s="3" t="s">
        <v>73</v>
      </c>
      <c r="W309">
        <v>80</v>
      </c>
      <c r="X309">
        <v>480</v>
      </c>
      <c r="Y309">
        <v>60</v>
      </c>
      <c r="Z309" s="4">
        <v>1</v>
      </c>
      <c r="AA309" s="4">
        <v>0.98333333333333295</v>
      </c>
      <c r="AB309" s="4">
        <v>0.94915254237288105</v>
      </c>
      <c r="AC309" s="4">
        <v>0.93333333333333302</v>
      </c>
      <c r="AD309" s="6">
        <v>0</v>
      </c>
      <c r="AE309" s="5">
        <v>8960</v>
      </c>
      <c r="AF309">
        <v>480</v>
      </c>
      <c r="AG309"/>
      <c r="AH309"/>
      <c r="AI309"/>
      <c r="AJ309"/>
    </row>
    <row r="310" spans="1:36" x14ac:dyDescent="0.25">
      <c r="A310">
        <v>309</v>
      </c>
      <c r="B310" s="1">
        <v>46051</v>
      </c>
      <c r="C310" s="1">
        <v>46051</v>
      </c>
      <c r="D310" s="2">
        <v>0.625</v>
      </c>
      <c r="E310" s="2">
        <v>0.66666666666666663</v>
      </c>
      <c r="F310" s="3" t="s">
        <v>56</v>
      </c>
      <c r="G310" s="3" t="s">
        <v>381</v>
      </c>
      <c r="H310" s="3" t="s">
        <v>29</v>
      </c>
      <c r="I310" s="3" t="s">
        <v>45</v>
      </c>
      <c r="J310" s="3" t="s">
        <v>46</v>
      </c>
      <c r="K310" s="3" t="s">
        <v>47</v>
      </c>
      <c r="L310" s="3" t="s">
        <v>33</v>
      </c>
      <c r="M310">
        <v>120</v>
      </c>
      <c r="N310">
        <v>30</v>
      </c>
      <c r="O310">
        <v>60</v>
      </c>
      <c r="P310">
        <v>12</v>
      </c>
      <c r="Q310" s="3" t="s">
        <v>95</v>
      </c>
      <c r="R310">
        <v>77</v>
      </c>
      <c r="S310">
        <v>67</v>
      </c>
      <c r="T310">
        <v>10</v>
      </c>
      <c r="U310" s="3" t="s">
        <v>63</v>
      </c>
      <c r="V310" s="3" t="s">
        <v>64</v>
      </c>
      <c r="W310">
        <v>80</v>
      </c>
      <c r="X310">
        <v>800</v>
      </c>
      <c r="Y310">
        <v>48</v>
      </c>
      <c r="Z310" s="4">
        <v>0.8</v>
      </c>
      <c r="AA310" s="4">
        <v>0.80208333333333404</v>
      </c>
      <c r="AB310" s="4">
        <v>0.87012987012986998</v>
      </c>
      <c r="AC310" s="4">
        <v>0.55833333333333401</v>
      </c>
      <c r="AD310" s="6">
        <v>1920</v>
      </c>
      <c r="AE310" s="5">
        <v>5360</v>
      </c>
      <c r="AF310">
        <v>2720</v>
      </c>
      <c r="AG310"/>
      <c r="AH310"/>
      <c r="AI310"/>
      <c r="AJ310"/>
    </row>
    <row r="311" spans="1:36" x14ac:dyDescent="0.25">
      <c r="A311">
        <v>310</v>
      </c>
      <c r="B311" s="1">
        <v>46051</v>
      </c>
      <c r="C311" s="1">
        <v>46051</v>
      </c>
      <c r="D311" s="2">
        <v>0.70833333333333337</v>
      </c>
      <c r="E311" s="2">
        <v>0.75</v>
      </c>
      <c r="F311" s="3" t="s">
        <v>96</v>
      </c>
      <c r="G311" s="3" t="s">
        <v>382</v>
      </c>
      <c r="H311" s="3" t="s">
        <v>38</v>
      </c>
      <c r="I311" s="3" t="s">
        <v>59</v>
      </c>
      <c r="J311" s="3" t="s">
        <v>60</v>
      </c>
      <c r="K311" s="3" t="s">
        <v>61</v>
      </c>
      <c r="L311" s="3" t="s">
        <v>62</v>
      </c>
      <c r="M311">
        <v>80</v>
      </c>
      <c r="N311">
        <v>45</v>
      </c>
      <c r="O311">
        <v>60</v>
      </c>
      <c r="P311">
        <v>0</v>
      </c>
      <c r="Q311" s="3" t="s">
        <v>39</v>
      </c>
      <c r="R311">
        <v>78</v>
      </c>
      <c r="S311">
        <v>78</v>
      </c>
      <c r="T311">
        <v>0</v>
      </c>
      <c r="U311" s="3" t="s">
        <v>99</v>
      </c>
      <c r="V311" s="3" t="s">
        <v>100</v>
      </c>
      <c r="W311">
        <v>120</v>
      </c>
      <c r="X311">
        <v>0</v>
      </c>
      <c r="Y311">
        <v>60</v>
      </c>
      <c r="Z311" s="4">
        <v>1</v>
      </c>
      <c r="AA311" s="4">
        <v>0.97499999999999998</v>
      </c>
      <c r="AB311" s="4">
        <v>1</v>
      </c>
      <c r="AC311" s="4">
        <v>0.97499999999999998</v>
      </c>
      <c r="AD311" s="6">
        <v>0</v>
      </c>
      <c r="AE311" s="5">
        <v>9360</v>
      </c>
      <c r="AF311">
        <v>0</v>
      </c>
      <c r="AG311"/>
      <c r="AH311"/>
      <c r="AI311"/>
      <c r="AJ311"/>
    </row>
    <row r="312" spans="1:36" x14ac:dyDescent="0.25">
      <c r="A312">
        <v>311</v>
      </c>
      <c r="B312" s="1">
        <v>46051</v>
      </c>
      <c r="C312" s="1">
        <v>46051</v>
      </c>
      <c r="D312" s="2">
        <v>0.75</v>
      </c>
      <c r="E312" s="2">
        <v>0.79166666666666663</v>
      </c>
      <c r="F312" s="3" t="s">
        <v>96</v>
      </c>
      <c r="G312" s="3" t="s">
        <v>383</v>
      </c>
      <c r="H312" s="3" t="s">
        <v>67</v>
      </c>
      <c r="I312" s="3" t="s">
        <v>59</v>
      </c>
      <c r="J312" s="3" t="s">
        <v>60</v>
      </c>
      <c r="K312" s="3" t="s">
        <v>61</v>
      </c>
      <c r="L312" s="3" t="s">
        <v>62</v>
      </c>
      <c r="M312">
        <v>80</v>
      </c>
      <c r="N312">
        <v>45</v>
      </c>
      <c r="O312">
        <v>60</v>
      </c>
      <c r="P312">
        <v>31</v>
      </c>
      <c r="Q312" s="3" t="s">
        <v>102</v>
      </c>
      <c r="R312">
        <v>63</v>
      </c>
      <c r="S312">
        <v>0</v>
      </c>
      <c r="T312">
        <v>63</v>
      </c>
      <c r="U312" s="3" t="s">
        <v>99</v>
      </c>
      <c r="V312" s="3" t="s">
        <v>100</v>
      </c>
      <c r="W312">
        <v>120</v>
      </c>
      <c r="X312">
        <v>7560</v>
      </c>
      <c r="Y312">
        <v>29</v>
      </c>
      <c r="Z312" s="4">
        <v>0.483333333333333</v>
      </c>
      <c r="AA312" s="4">
        <v>1.6293103448275901</v>
      </c>
      <c r="AB312" s="4">
        <v>0</v>
      </c>
      <c r="AC312" s="4">
        <v>0</v>
      </c>
      <c r="AD312" s="6">
        <v>4960</v>
      </c>
      <c r="AE312" s="5">
        <v>0</v>
      </c>
      <c r="AF312">
        <v>12520</v>
      </c>
      <c r="AG312"/>
      <c r="AH312"/>
      <c r="AI312"/>
      <c r="AJ312"/>
    </row>
    <row r="313" spans="1:36" x14ac:dyDescent="0.25">
      <c r="A313">
        <v>312</v>
      </c>
      <c r="B313" s="1">
        <v>46052</v>
      </c>
      <c r="C313" s="1">
        <v>46052</v>
      </c>
      <c r="D313" s="2">
        <v>0.29166666666666669</v>
      </c>
      <c r="E313" s="2">
        <v>0.33333333333333331</v>
      </c>
      <c r="F313" s="3" t="s">
        <v>27</v>
      </c>
      <c r="G313" s="3" t="s">
        <v>384</v>
      </c>
      <c r="H313" s="3" t="s">
        <v>84</v>
      </c>
      <c r="I313" s="3" t="s">
        <v>30</v>
      </c>
      <c r="J313" s="3" t="s">
        <v>31</v>
      </c>
      <c r="K313" s="3" t="s">
        <v>32</v>
      </c>
      <c r="L313" s="3" t="s">
        <v>33</v>
      </c>
      <c r="M313">
        <v>100</v>
      </c>
      <c r="N313">
        <v>36</v>
      </c>
      <c r="O313">
        <v>60</v>
      </c>
      <c r="P313">
        <v>6</v>
      </c>
      <c r="Q313" s="3" t="s">
        <v>104</v>
      </c>
      <c r="R313">
        <v>102</v>
      </c>
      <c r="S313">
        <v>100</v>
      </c>
      <c r="T313">
        <v>2</v>
      </c>
      <c r="U313" s="3" t="s">
        <v>35</v>
      </c>
      <c r="V313" s="3" t="s">
        <v>36</v>
      </c>
      <c r="W313">
        <v>50</v>
      </c>
      <c r="X313">
        <v>100</v>
      </c>
      <c r="Y313">
        <v>54</v>
      </c>
      <c r="Z313" s="4">
        <v>0.9</v>
      </c>
      <c r="AA313" s="4">
        <v>1.13333333333333</v>
      </c>
      <c r="AB313" s="4">
        <v>0.98039215686274495</v>
      </c>
      <c r="AC313" s="4">
        <v>0.999999999999997</v>
      </c>
      <c r="AD313" s="6">
        <v>500</v>
      </c>
      <c r="AE313" s="5">
        <v>5000</v>
      </c>
      <c r="AF313">
        <v>600</v>
      </c>
      <c r="AG313"/>
      <c r="AH313"/>
      <c r="AI313"/>
      <c r="AJ313"/>
    </row>
    <row r="314" spans="1:36" x14ac:dyDescent="0.25">
      <c r="A314">
        <v>313</v>
      </c>
      <c r="B314" s="1">
        <v>46052</v>
      </c>
      <c r="C314" s="1">
        <v>46052</v>
      </c>
      <c r="D314" s="2">
        <v>0.33333333333333331</v>
      </c>
      <c r="E314" s="2">
        <v>0.375</v>
      </c>
      <c r="F314" s="3" t="s">
        <v>27</v>
      </c>
      <c r="G314" s="3" t="s">
        <v>385</v>
      </c>
      <c r="H314" s="3" t="s">
        <v>117</v>
      </c>
      <c r="I314" s="3" t="s">
        <v>30</v>
      </c>
      <c r="J314" s="3" t="s">
        <v>31</v>
      </c>
      <c r="K314" s="3" t="s">
        <v>32</v>
      </c>
      <c r="L314" s="3" t="s">
        <v>33</v>
      </c>
      <c r="M314">
        <v>100</v>
      </c>
      <c r="N314">
        <v>36</v>
      </c>
      <c r="O314">
        <v>60</v>
      </c>
      <c r="P314">
        <v>0</v>
      </c>
      <c r="Q314" s="3" t="s">
        <v>39</v>
      </c>
      <c r="R314">
        <v>105</v>
      </c>
      <c r="S314">
        <v>105</v>
      </c>
      <c r="T314">
        <v>0</v>
      </c>
      <c r="U314" s="3" t="s">
        <v>35</v>
      </c>
      <c r="V314" s="3" t="s">
        <v>36</v>
      </c>
      <c r="W314">
        <v>50</v>
      </c>
      <c r="X314">
        <v>0</v>
      </c>
      <c r="Y314">
        <v>60</v>
      </c>
      <c r="Z314" s="4">
        <v>1</v>
      </c>
      <c r="AA314" s="4">
        <v>1.05</v>
      </c>
      <c r="AB314" s="4">
        <v>1</v>
      </c>
      <c r="AC314" s="4">
        <v>1.05</v>
      </c>
      <c r="AD314" s="6">
        <v>0</v>
      </c>
      <c r="AE314" s="5">
        <v>5250</v>
      </c>
      <c r="AF314">
        <v>0</v>
      </c>
      <c r="AG314"/>
      <c r="AH314"/>
      <c r="AI314"/>
      <c r="AJ314"/>
    </row>
    <row r="315" spans="1:36" x14ac:dyDescent="0.25">
      <c r="A315">
        <v>314</v>
      </c>
      <c r="B315" s="1">
        <v>46052</v>
      </c>
      <c r="C315" s="1">
        <v>46052</v>
      </c>
      <c r="D315" s="2">
        <v>0.375</v>
      </c>
      <c r="E315" s="2">
        <v>0.41666666666666669</v>
      </c>
      <c r="F315" s="3" t="s">
        <v>27</v>
      </c>
      <c r="G315" s="3" t="s">
        <v>386</v>
      </c>
      <c r="H315" s="3" t="s">
        <v>117</v>
      </c>
      <c r="I315" s="3" t="s">
        <v>30</v>
      </c>
      <c r="J315" s="3" t="s">
        <v>31</v>
      </c>
      <c r="K315" s="3" t="s">
        <v>32</v>
      </c>
      <c r="L315" s="3" t="s">
        <v>33</v>
      </c>
      <c r="M315">
        <v>100</v>
      </c>
      <c r="N315">
        <v>36</v>
      </c>
      <c r="O315">
        <v>60</v>
      </c>
      <c r="P315">
        <v>10</v>
      </c>
      <c r="Q315" s="3" t="s">
        <v>34</v>
      </c>
      <c r="R315">
        <v>90</v>
      </c>
      <c r="S315">
        <v>88</v>
      </c>
      <c r="T315">
        <v>2</v>
      </c>
      <c r="U315" s="3" t="s">
        <v>35</v>
      </c>
      <c r="V315" s="3" t="s">
        <v>36</v>
      </c>
      <c r="W315">
        <v>50</v>
      </c>
      <c r="X315">
        <v>100</v>
      </c>
      <c r="Y315">
        <v>50</v>
      </c>
      <c r="Z315" s="4">
        <v>0.83333333333333404</v>
      </c>
      <c r="AA315" s="4">
        <v>1.08</v>
      </c>
      <c r="AB315" s="4">
        <v>0.97777777777777797</v>
      </c>
      <c r="AC315" s="4">
        <v>0.880000000000001</v>
      </c>
      <c r="AD315" s="6">
        <v>833.33330000000001</v>
      </c>
      <c r="AE315" s="5">
        <v>4400</v>
      </c>
      <c r="AF315">
        <v>933.33330000000001</v>
      </c>
      <c r="AG315"/>
      <c r="AH315"/>
      <c r="AI315"/>
      <c r="AJ315"/>
    </row>
    <row r="316" spans="1:36" x14ac:dyDescent="0.25">
      <c r="A316">
        <v>315</v>
      </c>
      <c r="B316" s="1">
        <v>46052</v>
      </c>
      <c r="C316" s="1">
        <v>46052</v>
      </c>
      <c r="D316" s="2">
        <v>0.41666666666666669</v>
      </c>
      <c r="E316" s="2">
        <v>0.45833333333333331</v>
      </c>
      <c r="F316" s="3" t="s">
        <v>27</v>
      </c>
      <c r="G316" s="3" t="s">
        <v>387</v>
      </c>
      <c r="H316" s="3" t="s">
        <v>67</v>
      </c>
      <c r="I316" s="3" t="s">
        <v>30</v>
      </c>
      <c r="J316" s="3" t="s">
        <v>31</v>
      </c>
      <c r="K316" s="3" t="s">
        <v>32</v>
      </c>
      <c r="L316" s="3" t="s">
        <v>33</v>
      </c>
      <c r="M316">
        <v>100</v>
      </c>
      <c r="N316">
        <v>36</v>
      </c>
      <c r="O316">
        <v>60</v>
      </c>
      <c r="P316">
        <v>8</v>
      </c>
      <c r="Q316" s="3" t="s">
        <v>41</v>
      </c>
      <c r="R316">
        <v>71</v>
      </c>
      <c r="S316">
        <v>66</v>
      </c>
      <c r="T316">
        <v>5</v>
      </c>
      <c r="U316" s="3" t="s">
        <v>42</v>
      </c>
      <c r="V316" s="3" t="s">
        <v>43</v>
      </c>
      <c r="W316">
        <v>50</v>
      </c>
      <c r="X316">
        <v>250</v>
      </c>
      <c r="Y316">
        <v>52</v>
      </c>
      <c r="Z316" s="4">
        <v>0.86666666666666703</v>
      </c>
      <c r="AA316" s="4">
        <v>0.81923076923076898</v>
      </c>
      <c r="AB316" s="4">
        <v>0.92957746478873204</v>
      </c>
      <c r="AC316" s="4">
        <v>0.66</v>
      </c>
      <c r="AD316" s="6">
        <v>666.66669999999999</v>
      </c>
      <c r="AE316" s="5">
        <v>3300</v>
      </c>
      <c r="AF316">
        <v>916.66669999999999</v>
      </c>
      <c r="AG316"/>
      <c r="AH316"/>
      <c r="AI316"/>
      <c r="AJ316"/>
    </row>
    <row r="317" spans="1:36" x14ac:dyDescent="0.25">
      <c r="A317">
        <v>316</v>
      </c>
      <c r="B317" s="1">
        <v>46052</v>
      </c>
      <c r="C317" s="1">
        <v>46052</v>
      </c>
      <c r="D317" s="2">
        <v>0.45833333333333331</v>
      </c>
      <c r="E317" s="2">
        <v>0.5</v>
      </c>
      <c r="F317" s="3" t="s">
        <v>27</v>
      </c>
      <c r="G317" s="3" t="s">
        <v>388</v>
      </c>
      <c r="H317" s="3" t="s">
        <v>98</v>
      </c>
      <c r="I317" s="3" t="s">
        <v>45</v>
      </c>
      <c r="J317" s="3" t="s">
        <v>46</v>
      </c>
      <c r="K317" s="3" t="s">
        <v>47</v>
      </c>
      <c r="L317" s="3" t="s">
        <v>33</v>
      </c>
      <c r="M317">
        <v>120</v>
      </c>
      <c r="N317">
        <v>30</v>
      </c>
      <c r="O317">
        <v>60</v>
      </c>
      <c r="P317">
        <v>1</v>
      </c>
      <c r="Q317" s="3" t="s">
        <v>48</v>
      </c>
      <c r="R317">
        <v>110</v>
      </c>
      <c r="S317">
        <v>105</v>
      </c>
      <c r="T317">
        <v>5</v>
      </c>
      <c r="U317" s="3" t="s">
        <v>49</v>
      </c>
      <c r="V317" s="3" t="s">
        <v>50</v>
      </c>
      <c r="W317">
        <v>80</v>
      </c>
      <c r="X317">
        <v>400</v>
      </c>
      <c r="Y317">
        <v>59</v>
      </c>
      <c r="Z317" s="4">
        <v>0.98333333333333295</v>
      </c>
      <c r="AA317" s="4">
        <v>0.93220338983050799</v>
      </c>
      <c r="AB317" s="4">
        <v>0.95454545454545403</v>
      </c>
      <c r="AC317" s="4">
        <v>0.874999999999999</v>
      </c>
      <c r="AD317" s="6">
        <v>160</v>
      </c>
      <c r="AE317" s="5">
        <v>8400</v>
      </c>
      <c r="AF317">
        <v>560</v>
      </c>
      <c r="AG317"/>
      <c r="AH317"/>
      <c r="AI317"/>
      <c r="AJ317"/>
    </row>
    <row r="318" spans="1:36" x14ac:dyDescent="0.25">
      <c r="A318">
        <v>317</v>
      </c>
      <c r="B318" s="1">
        <v>46052</v>
      </c>
      <c r="C318" s="1">
        <v>46052</v>
      </c>
      <c r="D318" s="2">
        <v>0.5</v>
      </c>
      <c r="E318" s="2">
        <v>0.54166666666666663</v>
      </c>
      <c r="F318" s="3" t="s">
        <v>56</v>
      </c>
      <c r="G318" s="3" t="s">
        <v>389</v>
      </c>
      <c r="H318" s="3" t="s">
        <v>38</v>
      </c>
      <c r="I318" s="3" t="s">
        <v>59</v>
      </c>
      <c r="J318" s="3" t="s">
        <v>60</v>
      </c>
      <c r="K318" s="3" t="s">
        <v>61</v>
      </c>
      <c r="L318" s="3" t="s">
        <v>62</v>
      </c>
      <c r="M318">
        <v>80</v>
      </c>
      <c r="N318">
        <v>45</v>
      </c>
      <c r="O318">
        <v>60</v>
      </c>
      <c r="P318">
        <v>8</v>
      </c>
      <c r="Q318" s="3" t="s">
        <v>34</v>
      </c>
      <c r="R318">
        <v>71</v>
      </c>
      <c r="S318">
        <v>71</v>
      </c>
      <c r="T318">
        <v>0</v>
      </c>
      <c r="U318" s="3" t="s">
        <v>63</v>
      </c>
      <c r="V318" s="3" t="s">
        <v>64</v>
      </c>
      <c r="W318">
        <v>120</v>
      </c>
      <c r="X318">
        <v>0</v>
      </c>
      <c r="Y318">
        <v>52</v>
      </c>
      <c r="Z318" s="4">
        <v>0.86666666666666703</v>
      </c>
      <c r="AA318" s="4">
        <v>1.0240384615384599</v>
      </c>
      <c r="AB318" s="4">
        <v>1</v>
      </c>
      <c r="AC318" s="4">
        <v>0.88749999999999896</v>
      </c>
      <c r="AD318" s="6">
        <v>1280</v>
      </c>
      <c r="AE318" s="5">
        <v>8520</v>
      </c>
      <c r="AF318">
        <v>1280</v>
      </c>
      <c r="AG318"/>
      <c r="AH318"/>
      <c r="AI318"/>
      <c r="AJ318"/>
    </row>
    <row r="319" spans="1:36" x14ac:dyDescent="0.25">
      <c r="A319">
        <v>318</v>
      </c>
      <c r="B319" s="1">
        <v>46052</v>
      </c>
      <c r="C319" s="1">
        <v>46052</v>
      </c>
      <c r="D319" s="2">
        <v>0.54166666666666663</v>
      </c>
      <c r="E319" s="2">
        <v>0.58333333333333337</v>
      </c>
      <c r="F319" s="3" t="s">
        <v>56</v>
      </c>
      <c r="G319" s="3" t="s">
        <v>390</v>
      </c>
      <c r="H319" s="3" t="s">
        <v>91</v>
      </c>
      <c r="I319" s="3" t="s">
        <v>59</v>
      </c>
      <c r="J319" s="3" t="s">
        <v>60</v>
      </c>
      <c r="K319" s="3" t="s">
        <v>61</v>
      </c>
      <c r="L319" s="3" t="s">
        <v>62</v>
      </c>
      <c r="M319">
        <v>80</v>
      </c>
      <c r="N319">
        <v>45</v>
      </c>
      <c r="O319">
        <v>60</v>
      </c>
      <c r="P319">
        <v>52</v>
      </c>
      <c r="Q319" s="3" t="s">
        <v>68</v>
      </c>
      <c r="R319">
        <v>51</v>
      </c>
      <c r="S319">
        <v>0</v>
      </c>
      <c r="T319">
        <v>51</v>
      </c>
      <c r="U319" s="3" t="s">
        <v>69</v>
      </c>
      <c r="V319" s="3" t="s">
        <v>70</v>
      </c>
      <c r="W319">
        <v>120</v>
      </c>
      <c r="X319">
        <v>6120</v>
      </c>
      <c r="Y319">
        <v>8</v>
      </c>
      <c r="Z319" s="4">
        <v>0.133333333333333</v>
      </c>
      <c r="AA319" s="4">
        <v>4.78125</v>
      </c>
      <c r="AB319" s="4">
        <v>0</v>
      </c>
      <c r="AC319" s="4">
        <v>0</v>
      </c>
      <c r="AD319" s="6">
        <v>8320</v>
      </c>
      <c r="AE319" s="5">
        <v>0</v>
      </c>
      <c r="AF319">
        <v>14440</v>
      </c>
      <c r="AG319"/>
      <c r="AH319"/>
      <c r="AI319"/>
      <c r="AJ319"/>
    </row>
    <row r="320" spans="1:36" x14ac:dyDescent="0.25">
      <c r="A320">
        <v>319</v>
      </c>
      <c r="B320" s="1">
        <v>46052</v>
      </c>
      <c r="C320" s="1">
        <v>46052</v>
      </c>
      <c r="D320" s="2">
        <v>0.58333333333333337</v>
      </c>
      <c r="E320" s="2">
        <v>0.625</v>
      </c>
      <c r="F320" s="3" t="s">
        <v>56</v>
      </c>
      <c r="G320" s="3" t="s">
        <v>391</v>
      </c>
      <c r="H320" s="3" t="s">
        <v>98</v>
      </c>
      <c r="I320" s="3" t="s">
        <v>30</v>
      </c>
      <c r="J320" s="3" t="s">
        <v>31</v>
      </c>
      <c r="K320" s="3" t="s">
        <v>32</v>
      </c>
      <c r="L320" s="3" t="s">
        <v>33</v>
      </c>
      <c r="M320">
        <v>100</v>
      </c>
      <c r="N320">
        <v>36</v>
      </c>
      <c r="O320">
        <v>60</v>
      </c>
      <c r="P320">
        <v>7</v>
      </c>
      <c r="Q320" s="3" t="s">
        <v>34</v>
      </c>
      <c r="R320">
        <v>87</v>
      </c>
      <c r="S320">
        <v>85</v>
      </c>
      <c r="T320">
        <v>2</v>
      </c>
      <c r="U320" s="3" t="s">
        <v>72</v>
      </c>
      <c r="V320" s="3" t="s">
        <v>73</v>
      </c>
      <c r="W320">
        <v>50</v>
      </c>
      <c r="X320">
        <v>100</v>
      </c>
      <c r="Y320">
        <v>53</v>
      </c>
      <c r="Z320" s="4">
        <v>0.88333333333333297</v>
      </c>
      <c r="AA320" s="4">
        <v>0.98490566037735805</v>
      </c>
      <c r="AB320" s="4">
        <v>0.97701149425287404</v>
      </c>
      <c r="AC320" s="4">
        <v>0.85</v>
      </c>
      <c r="AD320" s="6">
        <v>583.33330000000001</v>
      </c>
      <c r="AE320" s="5">
        <v>4250</v>
      </c>
      <c r="AF320">
        <v>683.33330000000001</v>
      </c>
      <c r="AG320"/>
      <c r="AH320"/>
      <c r="AI320"/>
      <c r="AJ320"/>
    </row>
    <row r="321" spans="1:36" x14ac:dyDescent="0.25">
      <c r="A321">
        <v>320</v>
      </c>
      <c r="B321" s="1">
        <v>46052</v>
      </c>
      <c r="C321" s="1">
        <v>46052</v>
      </c>
      <c r="D321" s="2">
        <v>0.625</v>
      </c>
      <c r="E321" s="2">
        <v>0.66666666666666663</v>
      </c>
      <c r="F321" s="3" t="s">
        <v>56</v>
      </c>
      <c r="G321" s="3" t="s">
        <v>392</v>
      </c>
      <c r="H321" s="3" t="s">
        <v>58</v>
      </c>
      <c r="I321" s="3" t="s">
        <v>30</v>
      </c>
      <c r="J321" s="3" t="s">
        <v>31</v>
      </c>
      <c r="K321" s="3" t="s">
        <v>32</v>
      </c>
      <c r="L321" s="3" t="s">
        <v>33</v>
      </c>
      <c r="M321">
        <v>100</v>
      </c>
      <c r="N321">
        <v>36</v>
      </c>
      <c r="O321">
        <v>60</v>
      </c>
      <c r="P321">
        <v>4</v>
      </c>
      <c r="Q321" s="3" t="s">
        <v>78</v>
      </c>
      <c r="R321">
        <v>90</v>
      </c>
      <c r="S321">
        <v>90</v>
      </c>
      <c r="T321">
        <v>0</v>
      </c>
      <c r="U321" s="3" t="s">
        <v>75</v>
      </c>
      <c r="V321" s="3" t="s">
        <v>76</v>
      </c>
      <c r="W321">
        <v>50</v>
      </c>
      <c r="X321">
        <v>0</v>
      </c>
      <c r="Y321">
        <v>56</v>
      </c>
      <c r="Z321" s="4">
        <v>0.93333333333333302</v>
      </c>
      <c r="AA321" s="4">
        <v>0.96428571428571397</v>
      </c>
      <c r="AB321" s="4">
        <v>1</v>
      </c>
      <c r="AC321" s="4">
        <v>0.89999999999999902</v>
      </c>
      <c r="AD321" s="6">
        <v>333.33330000000001</v>
      </c>
      <c r="AE321" s="5">
        <v>4500</v>
      </c>
      <c r="AF321">
        <v>333.33330000000001</v>
      </c>
      <c r="AG321"/>
      <c r="AH321"/>
      <c r="AI321"/>
      <c r="AJ321"/>
    </row>
    <row r="322" spans="1:36" x14ac:dyDescent="0.25">
      <c r="A322">
        <v>321</v>
      </c>
      <c r="B322" s="1">
        <v>46053</v>
      </c>
      <c r="C322" s="1">
        <v>46053</v>
      </c>
      <c r="D322" s="2">
        <v>0.29166666666666669</v>
      </c>
      <c r="E322" s="2">
        <v>0.33333333333333331</v>
      </c>
      <c r="F322" s="3" t="s">
        <v>27</v>
      </c>
      <c r="G322" s="3" t="s">
        <v>393</v>
      </c>
      <c r="H322" s="3" t="s">
        <v>117</v>
      </c>
      <c r="I322" s="3" t="s">
        <v>30</v>
      </c>
      <c r="J322" s="3" t="s">
        <v>31</v>
      </c>
      <c r="K322" s="3" t="s">
        <v>32</v>
      </c>
      <c r="L322" s="3" t="s">
        <v>33</v>
      </c>
      <c r="M322">
        <v>100</v>
      </c>
      <c r="N322">
        <v>36</v>
      </c>
      <c r="O322">
        <v>60</v>
      </c>
      <c r="P322">
        <v>7</v>
      </c>
      <c r="Q322" s="3" t="s">
        <v>34</v>
      </c>
      <c r="R322">
        <v>97</v>
      </c>
      <c r="S322">
        <v>95</v>
      </c>
      <c r="T322">
        <v>2</v>
      </c>
      <c r="U322" s="3" t="s">
        <v>35</v>
      </c>
      <c r="V322" s="3" t="s">
        <v>36</v>
      </c>
      <c r="W322">
        <v>50</v>
      </c>
      <c r="X322">
        <v>100</v>
      </c>
      <c r="Y322">
        <v>53</v>
      </c>
      <c r="Z322" s="4">
        <v>0.88333333333333297</v>
      </c>
      <c r="AA322" s="4">
        <v>1.09811320754717</v>
      </c>
      <c r="AB322" s="4">
        <v>0.97938144329896903</v>
      </c>
      <c r="AC322" s="4">
        <v>0.95</v>
      </c>
      <c r="AD322" s="6">
        <v>583.33330000000001</v>
      </c>
      <c r="AE322" s="5">
        <v>4750</v>
      </c>
      <c r="AF322">
        <v>683.33330000000001</v>
      </c>
      <c r="AG322"/>
      <c r="AH322"/>
      <c r="AI322"/>
      <c r="AJ322"/>
    </row>
    <row r="323" spans="1:36" x14ac:dyDescent="0.25">
      <c r="A323">
        <v>322</v>
      </c>
      <c r="B323" s="1">
        <v>46053</v>
      </c>
      <c r="C323" s="1">
        <v>46053</v>
      </c>
      <c r="D323" s="2">
        <v>0.33333333333333331</v>
      </c>
      <c r="E323" s="2">
        <v>0.375</v>
      </c>
      <c r="F323" s="3" t="s">
        <v>27</v>
      </c>
      <c r="G323" s="3" t="s">
        <v>394</v>
      </c>
      <c r="H323" s="3" t="s">
        <v>67</v>
      </c>
      <c r="I323" s="3" t="s">
        <v>30</v>
      </c>
      <c r="J323" s="3" t="s">
        <v>31</v>
      </c>
      <c r="K323" s="3" t="s">
        <v>32</v>
      </c>
      <c r="L323" s="3" t="s">
        <v>33</v>
      </c>
      <c r="M323">
        <v>100</v>
      </c>
      <c r="N323">
        <v>36</v>
      </c>
      <c r="O323">
        <v>60</v>
      </c>
      <c r="P323">
        <v>0</v>
      </c>
      <c r="Q323" s="3" t="s">
        <v>39</v>
      </c>
      <c r="R323">
        <v>106</v>
      </c>
      <c r="S323">
        <v>105</v>
      </c>
      <c r="T323">
        <v>1</v>
      </c>
      <c r="U323" s="3" t="s">
        <v>35</v>
      </c>
      <c r="V323" s="3" t="s">
        <v>36</v>
      </c>
      <c r="W323">
        <v>50</v>
      </c>
      <c r="X323">
        <v>50</v>
      </c>
      <c r="Y323">
        <v>60</v>
      </c>
      <c r="Z323" s="4">
        <v>1</v>
      </c>
      <c r="AA323" s="4">
        <v>1.06</v>
      </c>
      <c r="AB323" s="4">
        <v>0.99056603773584895</v>
      </c>
      <c r="AC323" s="4">
        <v>1.05</v>
      </c>
      <c r="AD323" s="6">
        <v>0</v>
      </c>
      <c r="AE323" s="5">
        <v>5250</v>
      </c>
      <c r="AF323">
        <v>50</v>
      </c>
      <c r="AG323"/>
      <c r="AH323"/>
      <c r="AI323"/>
      <c r="AJ323"/>
    </row>
    <row r="324" spans="1:36" x14ac:dyDescent="0.25">
      <c r="A324">
        <v>323</v>
      </c>
      <c r="B324" s="1">
        <v>46053</v>
      </c>
      <c r="C324" s="1">
        <v>46053</v>
      </c>
      <c r="D324" s="2">
        <v>0.375</v>
      </c>
      <c r="E324" s="2">
        <v>0.41666666666666669</v>
      </c>
      <c r="F324" s="3" t="s">
        <v>27</v>
      </c>
      <c r="G324" s="3" t="s">
        <v>395</v>
      </c>
      <c r="H324" s="3" t="s">
        <v>29</v>
      </c>
      <c r="I324" s="3" t="s">
        <v>30</v>
      </c>
      <c r="J324" s="3" t="s">
        <v>31</v>
      </c>
      <c r="K324" s="3" t="s">
        <v>32</v>
      </c>
      <c r="L324" s="3" t="s">
        <v>33</v>
      </c>
      <c r="M324">
        <v>100</v>
      </c>
      <c r="N324">
        <v>36</v>
      </c>
      <c r="O324">
        <v>60</v>
      </c>
      <c r="P324">
        <v>10</v>
      </c>
      <c r="Q324" s="3" t="s">
        <v>41</v>
      </c>
      <c r="R324">
        <v>76</v>
      </c>
      <c r="S324">
        <v>71</v>
      </c>
      <c r="T324">
        <v>5</v>
      </c>
      <c r="U324" s="3" t="s">
        <v>42</v>
      </c>
      <c r="V324" s="3" t="s">
        <v>43</v>
      </c>
      <c r="W324">
        <v>50</v>
      </c>
      <c r="X324">
        <v>250</v>
      </c>
      <c r="Y324">
        <v>50</v>
      </c>
      <c r="Z324" s="4">
        <v>0.83333333333333404</v>
      </c>
      <c r="AA324" s="4">
        <v>0.91200000000000003</v>
      </c>
      <c r="AB324" s="4">
        <v>0.93421052631579005</v>
      </c>
      <c r="AC324" s="4">
        <v>0.71000000000000096</v>
      </c>
      <c r="AD324" s="6">
        <v>833.33330000000001</v>
      </c>
      <c r="AE324" s="5">
        <v>3550</v>
      </c>
      <c r="AF324">
        <v>1083.3333</v>
      </c>
      <c r="AG324"/>
      <c r="AH324"/>
      <c r="AI324"/>
      <c r="AJ324"/>
    </row>
    <row r="325" spans="1:36" x14ac:dyDescent="0.25">
      <c r="A325">
        <v>324</v>
      </c>
      <c r="B325" s="1">
        <v>46053</v>
      </c>
      <c r="C325" s="1">
        <v>46053</v>
      </c>
      <c r="D325" s="2">
        <v>0.41666666666666669</v>
      </c>
      <c r="E325" s="2">
        <v>0.45833333333333331</v>
      </c>
      <c r="F325" s="3" t="s">
        <v>27</v>
      </c>
      <c r="G325" s="3" t="s">
        <v>396</v>
      </c>
      <c r="H325" s="3" t="s">
        <v>29</v>
      </c>
      <c r="I325" s="3" t="s">
        <v>45</v>
      </c>
      <c r="J325" s="3" t="s">
        <v>46</v>
      </c>
      <c r="K325" s="3" t="s">
        <v>47</v>
      </c>
      <c r="L325" s="3" t="s">
        <v>33</v>
      </c>
      <c r="M325">
        <v>120</v>
      </c>
      <c r="N325">
        <v>30</v>
      </c>
      <c r="O325">
        <v>60</v>
      </c>
      <c r="P325">
        <v>2</v>
      </c>
      <c r="Q325" s="3" t="s">
        <v>48</v>
      </c>
      <c r="R325">
        <v>108</v>
      </c>
      <c r="S325">
        <v>103</v>
      </c>
      <c r="T325">
        <v>5</v>
      </c>
      <c r="U325" s="3" t="s">
        <v>49</v>
      </c>
      <c r="V325" s="3" t="s">
        <v>50</v>
      </c>
      <c r="W325">
        <v>80</v>
      </c>
      <c r="X325">
        <v>400</v>
      </c>
      <c r="Y325">
        <v>58</v>
      </c>
      <c r="Z325" s="4">
        <v>0.96666666666666701</v>
      </c>
      <c r="AA325" s="4">
        <v>0.931034482758621</v>
      </c>
      <c r="AB325" s="4">
        <v>0.95370370370370405</v>
      </c>
      <c r="AC325" s="4">
        <v>0.85833333333333395</v>
      </c>
      <c r="AD325" s="6">
        <v>320</v>
      </c>
      <c r="AE325" s="5">
        <v>8240</v>
      </c>
      <c r="AF325">
        <v>720</v>
      </c>
      <c r="AG325"/>
      <c r="AH325"/>
      <c r="AI325"/>
      <c r="AJ325"/>
    </row>
    <row r="326" spans="1:36" x14ac:dyDescent="0.25">
      <c r="A326">
        <v>325</v>
      </c>
      <c r="B326" s="1">
        <v>46053</v>
      </c>
      <c r="C326" s="1">
        <v>46053</v>
      </c>
      <c r="D326" s="2">
        <v>0.45833333333333331</v>
      </c>
      <c r="E326" s="2">
        <v>0.5</v>
      </c>
      <c r="F326" s="3" t="s">
        <v>27</v>
      </c>
      <c r="G326" s="3" t="s">
        <v>397</v>
      </c>
      <c r="H326" s="3" t="s">
        <v>80</v>
      </c>
      <c r="I326" s="3" t="s">
        <v>45</v>
      </c>
      <c r="J326" s="3" t="s">
        <v>46</v>
      </c>
      <c r="K326" s="3" t="s">
        <v>47</v>
      </c>
      <c r="L326" s="3" t="s">
        <v>33</v>
      </c>
      <c r="M326">
        <v>120</v>
      </c>
      <c r="N326">
        <v>30</v>
      </c>
      <c r="O326">
        <v>60</v>
      </c>
      <c r="P326">
        <v>0</v>
      </c>
      <c r="Q326" s="3" t="s">
        <v>39</v>
      </c>
      <c r="R326">
        <v>113</v>
      </c>
      <c r="S326">
        <v>113</v>
      </c>
      <c r="T326">
        <v>0</v>
      </c>
      <c r="U326" s="3" t="s">
        <v>49</v>
      </c>
      <c r="V326" s="3" t="s">
        <v>50</v>
      </c>
      <c r="W326">
        <v>80</v>
      </c>
      <c r="X326">
        <v>0</v>
      </c>
      <c r="Y326">
        <v>60</v>
      </c>
      <c r="Z326" s="4">
        <v>1</v>
      </c>
      <c r="AA326" s="4">
        <v>0.94166666666666698</v>
      </c>
      <c r="AB326" s="4">
        <v>1</v>
      </c>
      <c r="AC326" s="4">
        <v>0.94166666666666698</v>
      </c>
      <c r="AD326" s="6">
        <v>0</v>
      </c>
      <c r="AE326" s="5">
        <v>9040</v>
      </c>
      <c r="AF326">
        <v>0</v>
      </c>
      <c r="AG326"/>
      <c r="AH326"/>
      <c r="AI326"/>
      <c r="AJ326"/>
    </row>
    <row r="327" spans="1:36" x14ac:dyDescent="0.25">
      <c r="A327">
        <v>326</v>
      </c>
      <c r="B327" s="1">
        <v>46053</v>
      </c>
      <c r="C327" s="1">
        <v>46053</v>
      </c>
      <c r="D327" s="2">
        <v>0.5</v>
      </c>
      <c r="E327" s="2">
        <v>0.54166666666666663</v>
      </c>
      <c r="F327" s="3" t="s">
        <v>27</v>
      </c>
      <c r="G327" s="3" t="s">
        <v>398</v>
      </c>
      <c r="H327" s="3" t="s">
        <v>80</v>
      </c>
      <c r="I327" s="3" t="s">
        <v>45</v>
      </c>
      <c r="J327" s="3" t="s">
        <v>46</v>
      </c>
      <c r="K327" s="3" t="s">
        <v>47</v>
      </c>
      <c r="L327" s="3" t="s">
        <v>33</v>
      </c>
      <c r="M327">
        <v>120</v>
      </c>
      <c r="N327">
        <v>30</v>
      </c>
      <c r="O327">
        <v>60</v>
      </c>
      <c r="P327">
        <v>2</v>
      </c>
      <c r="Q327" s="3" t="s">
        <v>53</v>
      </c>
      <c r="R327">
        <v>93</v>
      </c>
      <c r="S327">
        <v>86</v>
      </c>
      <c r="T327">
        <v>7</v>
      </c>
      <c r="U327" s="3" t="s">
        <v>54</v>
      </c>
      <c r="V327" s="3" t="s">
        <v>55</v>
      </c>
      <c r="W327">
        <v>80</v>
      </c>
      <c r="X327">
        <v>560</v>
      </c>
      <c r="Y327">
        <v>58</v>
      </c>
      <c r="Z327" s="4">
        <v>0.96666666666666701</v>
      </c>
      <c r="AA327" s="4">
        <v>0.80172413793103403</v>
      </c>
      <c r="AB327" s="4">
        <v>0.92473118279569899</v>
      </c>
      <c r="AC327" s="4">
        <v>0.71666666666666601</v>
      </c>
      <c r="AD327" s="6">
        <v>320</v>
      </c>
      <c r="AE327" s="5">
        <v>6880</v>
      </c>
      <c r="AF327">
        <v>880</v>
      </c>
      <c r="AG327"/>
      <c r="AH327"/>
      <c r="AI327"/>
      <c r="AJ327"/>
    </row>
    <row r="328" spans="1:36" x14ac:dyDescent="0.25">
      <c r="A328">
        <v>327</v>
      </c>
      <c r="B328" s="1">
        <v>46053</v>
      </c>
      <c r="C328" s="1">
        <v>46053</v>
      </c>
      <c r="D328" s="2">
        <v>0.54166666666666663</v>
      </c>
      <c r="E328" s="2">
        <v>0.58333333333333337</v>
      </c>
      <c r="F328" s="3" t="s">
        <v>56</v>
      </c>
      <c r="G328" s="3" t="s">
        <v>399</v>
      </c>
      <c r="H328" s="3" t="s">
        <v>80</v>
      </c>
      <c r="I328" s="3" t="s">
        <v>59</v>
      </c>
      <c r="J328" s="3" t="s">
        <v>60</v>
      </c>
      <c r="K328" s="3" t="s">
        <v>61</v>
      </c>
      <c r="L328" s="3" t="s">
        <v>62</v>
      </c>
      <c r="M328">
        <v>80</v>
      </c>
      <c r="N328">
        <v>45</v>
      </c>
      <c r="O328">
        <v>60</v>
      </c>
      <c r="P328">
        <v>10</v>
      </c>
      <c r="Q328" s="3" t="s">
        <v>34</v>
      </c>
      <c r="R328">
        <v>80</v>
      </c>
      <c r="S328">
        <v>80</v>
      </c>
      <c r="T328">
        <v>0</v>
      </c>
      <c r="U328" s="3" t="s">
        <v>63</v>
      </c>
      <c r="V328" s="3" t="s">
        <v>64</v>
      </c>
      <c r="W328">
        <v>120</v>
      </c>
      <c r="X328">
        <v>0</v>
      </c>
      <c r="Y328">
        <v>50</v>
      </c>
      <c r="Z328" s="4">
        <v>0.83333333333333404</v>
      </c>
      <c r="AA328" s="4">
        <v>1.2</v>
      </c>
      <c r="AB328" s="4">
        <v>1</v>
      </c>
      <c r="AC328" s="4">
        <v>1</v>
      </c>
      <c r="AD328" s="6">
        <v>1600</v>
      </c>
      <c r="AE328" s="5">
        <v>9600</v>
      </c>
      <c r="AF328">
        <v>1600</v>
      </c>
      <c r="AG328"/>
      <c r="AH328"/>
      <c r="AI328"/>
      <c r="AJ328"/>
    </row>
    <row r="329" spans="1:36" x14ac:dyDescent="0.25">
      <c r="A329">
        <v>328</v>
      </c>
      <c r="B329" s="1">
        <v>46053</v>
      </c>
      <c r="C329" s="1">
        <v>46053</v>
      </c>
      <c r="D329" s="2">
        <v>0.58333333333333337</v>
      </c>
      <c r="E329" s="2">
        <v>0.625</v>
      </c>
      <c r="F329" s="3" t="s">
        <v>56</v>
      </c>
      <c r="G329" s="3" t="s">
        <v>400</v>
      </c>
      <c r="H329" s="3" t="s">
        <v>38</v>
      </c>
      <c r="I329" s="3" t="s">
        <v>59</v>
      </c>
      <c r="J329" s="3" t="s">
        <v>60</v>
      </c>
      <c r="K329" s="3" t="s">
        <v>61</v>
      </c>
      <c r="L329" s="3" t="s">
        <v>62</v>
      </c>
      <c r="M329">
        <v>80</v>
      </c>
      <c r="N329">
        <v>45</v>
      </c>
      <c r="O329">
        <v>60</v>
      </c>
      <c r="P329">
        <v>0</v>
      </c>
      <c r="Q329" s="3" t="s">
        <v>39</v>
      </c>
      <c r="R329">
        <v>77</v>
      </c>
      <c r="S329">
        <v>61</v>
      </c>
      <c r="T329">
        <v>16</v>
      </c>
      <c r="U329" s="3" t="s">
        <v>63</v>
      </c>
      <c r="V329" s="3" t="s">
        <v>64</v>
      </c>
      <c r="W329">
        <v>120</v>
      </c>
      <c r="X329">
        <v>1920</v>
      </c>
      <c r="Y329">
        <v>60</v>
      </c>
      <c r="Z329" s="4">
        <v>1</v>
      </c>
      <c r="AA329" s="4">
        <v>0.96250000000000002</v>
      </c>
      <c r="AB329" s="4">
        <v>0.79220779220779203</v>
      </c>
      <c r="AC329" s="4">
        <v>0.76249999999999996</v>
      </c>
      <c r="AD329" s="6">
        <v>0</v>
      </c>
      <c r="AE329" s="5">
        <v>7320</v>
      </c>
      <c r="AF329">
        <v>1920</v>
      </c>
      <c r="AG329"/>
      <c r="AH329"/>
      <c r="AI329"/>
      <c r="AJ329"/>
    </row>
    <row r="330" spans="1:36" x14ac:dyDescent="0.25">
      <c r="A330">
        <v>329</v>
      </c>
      <c r="B330" s="1">
        <v>46053</v>
      </c>
      <c r="C330" s="1">
        <v>46053</v>
      </c>
      <c r="D330" s="2">
        <v>0.625</v>
      </c>
      <c r="E330" s="2">
        <v>0.66666666666666663</v>
      </c>
      <c r="F330" s="3" t="s">
        <v>56</v>
      </c>
      <c r="G330" s="3" t="s">
        <v>401</v>
      </c>
      <c r="H330" s="3" t="s">
        <v>38</v>
      </c>
      <c r="I330" s="3" t="s">
        <v>59</v>
      </c>
      <c r="J330" s="3" t="s">
        <v>60</v>
      </c>
      <c r="K330" s="3" t="s">
        <v>61</v>
      </c>
      <c r="L330" s="3" t="s">
        <v>62</v>
      </c>
      <c r="M330">
        <v>80</v>
      </c>
      <c r="N330">
        <v>45</v>
      </c>
      <c r="O330">
        <v>60</v>
      </c>
      <c r="P330">
        <v>37</v>
      </c>
      <c r="Q330" s="3" t="s">
        <v>68</v>
      </c>
      <c r="R330">
        <v>49</v>
      </c>
      <c r="S330">
        <v>0</v>
      </c>
      <c r="T330">
        <v>49</v>
      </c>
      <c r="U330" s="3" t="s">
        <v>69</v>
      </c>
      <c r="V330" s="3" t="s">
        <v>70</v>
      </c>
      <c r="W330">
        <v>120</v>
      </c>
      <c r="X330">
        <v>5880</v>
      </c>
      <c r="Y330">
        <v>23</v>
      </c>
      <c r="Z330" s="4">
        <v>0.38333333333333303</v>
      </c>
      <c r="AA330" s="4">
        <v>1.59782608695652</v>
      </c>
      <c r="AB330" s="4">
        <v>0</v>
      </c>
      <c r="AC330" s="4">
        <v>0</v>
      </c>
      <c r="AD330" s="6">
        <v>5920</v>
      </c>
      <c r="AE330" s="5">
        <v>0</v>
      </c>
      <c r="AF330">
        <v>11800</v>
      </c>
      <c r="AG330"/>
      <c r="AH330"/>
      <c r="AI330"/>
      <c r="AJ330"/>
    </row>
    <row r="331" spans="1:36" x14ac:dyDescent="0.25">
      <c r="A331">
        <v>330</v>
      </c>
      <c r="B331" s="1">
        <v>46053</v>
      </c>
      <c r="C331" s="1">
        <v>46053</v>
      </c>
      <c r="D331" s="2">
        <v>0.66666666666666663</v>
      </c>
      <c r="E331" s="2">
        <v>0.70833333333333337</v>
      </c>
      <c r="F331" s="3" t="s">
        <v>56</v>
      </c>
      <c r="G331" s="3" t="s">
        <v>402</v>
      </c>
      <c r="H331" s="3" t="s">
        <v>117</v>
      </c>
      <c r="I331" s="3" t="s">
        <v>30</v>
      </c>
      <c r="J331" s="3" t="s">
        <v>31</v>
      </c>
      <c r="K331" s="3" t="s">
        <v>32</v>
      </c>
      <c r="L331" s="3" t="s">
        <v>33</v>
      </c>
      <c r="M331">
        <v>100</v>
      </c>
      <c r="N331">
        <v>36</v>
      </c>
      <c r="O331">
        <v>60</v>
      </c>
      <c r="P331">
        <v>5</v>
      </c>
      <c r="Q331" s="3" t="s">
        <v>34</v>
      </c>
      <c r="R331">
        <v>99</v>
      </c>
      <c r="S331">
        <v>96</v>
      </c>
      <c r="T331">
        <v>3</v>
      </c>
      <c r="U331" s="3" t="s">
        <v>72</v>
      </c>
      <c r="V331" s="3" t="s">
        <v>73</v>
      </c>
      <c r="W331">
        <v>50</v>
      </c>
      <c r="X331">
        <v>150</v>
      </c>
      <c r="Y331">
        <v>55</v>
      </c>
      <c r="Z331" s="4">
        <v>0.91666666666666596</v>
      </c>
      <c r="AA331" s="4">
        <v>1.08</v>
      </c>
      <c r="AB331" s="4">
        <v>0.96969696969696995</v>
      </c>
      <c r="AC331" s="4">
        <v>0.96</v>
      </c>
      <c r="AD331" s="6">
        <v>416.66669999999999</v>
      </c>
      <c r="AE331" s="5">
        <v>4800</v>
      </c>
      <c r="AF331">
        <v>566.66669999999999</v>
      </c>
      <c r="AG331"/>
      <c r="AH331"/>
      <c r="AI331"/>
      <c r="AJ331"/>
    </row>
    <row r="332" spans="1:36" x14ac:dyDescent="0.25">
      <c r="A332">
        <v>331</v>
      </c>
      <c r="B332" s="1">
        <v>46053</v>
      </c>
      <c r="C332" s="1">
        <v>46053</v>
      </c>
      <c r="D332" s="2">
        <v>0.70833333333333337</v>
      </c>
      <c r="E332" s="2">
        <v>0.75</v>
      </c>
      <c r="F332" s="3" t="s">
        <v>56</v>
      </c>
      <c r="G332" s="3" t="s">
        <v>403</v>
      </c>
      <c r="H332" s="3" t="s">
        <v>29</v>
      </c>
      <c r="I332" s="3" t="s">
        <v>30</v>
      </c>
      <c r="J332" s="3" t="s">
        <v>31</v>
      </c>
      <c r="K332" s="3" t="s">
        <v>32</v>
      </c>
      <c r="L332" s="3" t="s">
        <v>33</v>
      </c>
      <c r="M332">
        <v>100</v>
      </c>
      <c r="N332">
        <v>36</v>
      </c>
      <c r="O332">
        <v>60</v>
      </c>
      <c r="P332">
        <v>0</v>
      </c>
      <c r="Q332" s="3" t="s">
        <v>39</v>
      </c>
      <c r="R332">
        <v>98</v>
      </c>
      <c r="S332">
        <v>97</v>
      </c>
      <c r="T332">
        <v>1</v>
      </c>
      <c r="U332" s="3" t="s">
        <v>75</v>
      </c>
      <c r="V332" s="3" t="s">
        <v>76</v>
      </c>
      <c r="W332">
        <v>50</v>
      </c>
      <c r="X332">
        <v>50</v>
      </c>
      <c r="Y332">
        <v>60</v>
      </c>
      <c r="Z332" s="4">
        <v>1</v>
      </c>
      <c r="AA332" s="4">
        <v>0.98</v>
      </c>
      <c r="AB332" s="4">
        <v>0.98979591836734704</v>
      </c>
      <c r="AC332" s="4">
        <v>0.97</v>
      </c>
      <c r="AD332" s="6">
        <v>0</v>
      </c>
      <c r="AE332" s="5">
        <v>4850</v>
      </c>
      <c r="AF332">
        <v>50</v>
      </c>
      <c r="AG332"/>
      <c r="AH332"/>
      <c r="AI332"/>
      <c r="AJ332"/>
    </row>
    <row r="333" spans="1:36" x14ac:dyDescent="0.25">
      <c r="A333">
        <v>332</v>
      </c>
      <c r="B333" s="1">
        <v>46053</v>
      </c>
      <c r="C333" s="1">
        <v>46053</v>
      </c>
      <c r="D333" s="2">
        <v>0.70833333333333337</v>
      </c>
      <c r="E333" s="2">
        <v>0.75</v>
      </c>
      <c r="F333" s="3" t="s">
        <v>56</v>
      </c>
      <c r="G333" s="3" t="s">
        <v>404</v>
      </c>
      <c r="H333" s="3" t="s">
        <v>117</v>
      </c>
      <c r="I333" s="3" t="s">
        <v>30</v>
      </c>
      <c r="J333" s="3" t="s">
        <v>31</v>
      </c>
      <c r="K333" s="3" t="s">
        <v>32</v>
      </c>
      <c r="L333" s="3" t="s">
        <v>33</v>
      </c>
      <c r="M333">
        <v>100</v>
      </c>
      <c r="N333">
        <v>36</v>
      </c>
      <c r="O333">
        <v>60</v>
      </c>
      <c r="P333">
        <v>2</v>
      </c>
      <c r="Q333" s="3" t="s">
        <v>78</v>
      </c>
      <c r="R333">
        <v>94</v>
      </c>
      <c r="S333">
        <v>94</v>
      </c>
      <c r="T333">
        <v>0</v>
      </c>
      <c r="U333" s="3" t="s">
        <v>75</v>
      </c>
      <c r="V333" s="3" t="s">
        <v>76</v>
      </c>
      <c r="W333">
        <v>50</v>
      </c>
      <c r="X333">
        <v>0</v>
      </c>
      <c r="Y333">
        <v>58</v>
      </c>
      <c r="Z333" s="4">
        <v>0.96666666666666701</v>
      </c>
      <c r="AA333" s="4">
        <v>0.972413793103448</v>
      </c>
      <c r="AB333" s="4">
        <v>1</v>
      </c>
      <c r="AC333" s="4">
        <v>0.94</v>
      </c>
      <c r="AD333" s="6">
        <v>166.66669999999999</v>
      </c>
      <c r="AE333" s="5">
        <v>4700</v>
      </c>
      <c r="AF333">
        <v>166.66669999999999</v>
      </c>
      <c r="AG333"/>
      <c r="AH333"/>
      <c r="AI333"/>
      <c r="AJ333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7B48-7A23-4D45-B265-953B09122FC4}">
  <sheetPr>
    <pageSetUpPr fitToPage="1"/>
  </sheetPr>
  <dimension ref="B3:L85"/>
  <sheetViews>
    <sheetView showGridLines="0" workbookViewId="0">
      <selection activeCell="D11" sqref="D11"/>
    </sheetView>
  </sheetViews>
  <sheetFormatPr defaultRowHeight="15" x14ac:dyDescent="0.25"/>
  <cols>
    <col min="2" max="2" width="11.140625" bestFit="1" customWidth="1"/>
    <col min="3" max="3" width="16.42578125" bestFit="1" customWidth="1"/>
    <col min="4" max="4" width="25.7109375" bestFit="1" customWidth="1"/>
    <col min="6" max="6" width="14.85546875" bestFit="1" customWidth="1"/>
    <col min="8" max="8" width="16.140625" bestFit="1" customWidth="1"/>
    <col min="10" max="10" width="12.85546875" bestFit="1" customWidth="1"/>
    <col min="12" max="12" width="30.5703125" bestFit="1" customWidth="1"/>
  </cols>
  <sheetData>
    <row r="3" spans="2:12" x14ac:dyDescent="0.25">
      <c r="B3" t="s">
        <v>410</v>
      </c>
      <c r="D3" s="6" t="s">
        <v>411</v>
      </c>
      <c r="F3" s="6" t="s">
        <v>413</v>
      </c>
      <c r="H3" s="6" t="s">
        <v>414</v>
      </c>
      <c r="J3" s="6" t="s">
        <v>415</v>
      </c>
      <c r="L3" s="9" t="s">
        <v>416</v>
      </c>
    </row>
    <row r="4" spans="2:12" x14ac:dyDescent="0.25">
      <c r="B4" s="10">
        <v>0.79486194779116459</v>
      </c>
      <c r="D4" s="11">
        <v>551960.00040000014</v>
      </c>
      <c r="F4" s="11">
        <v>1932440</v>
      </c>
      <c r="H4" s="11">
        <v>342300.00040000002</v>
      </c>
      <c r="J4" s="11">
        <v>209660</v>
      </c>
      <c r="L4" s="13">
        <f>D4/F4</f>
        <v>0.28562853201134325</v>
      </c>
    </row>
    <row r="7" spans="2:12" x14ac:dyDescent="0.25">
      <c r="H7" s="12"/>
    </row>
    <row r="10" spans="2:12" x14ac:dyDescent="0.25">
      <c r="B10" s="8" t="s">
        <v>417</v>
      </c>
      <c r="C10" t="s">
        <v>410</v>
      </c>
    </row>
    <row r="11" spans="2:12" x14ac:dyDescent="0.25">
      <c r="B11" s="14" t="s">
        <v>61</v>
      </c>
      <c r="C11" s="10">
        <v>0.67594086021505351</v>
      </c>
    </row>
    <row r="12" spans="2:12" x14ac:dyDescent="0.25">
      <c r="B12" s="14" t="s">
        <v>47</v>
      </c>
      <c r="C12" s="10">
        <v>0.75689964157706091</v>
      </c>
    </row>
    <row r="13" spans="2:12" x14ac:dyDescent="0.25">
      <c r="B13" s="14" t="s">
        <v>32</v>
      </c>
      <c r="C13" s="10">
        <v>0.89479452054794473</v>
      </c>
    </row>
    <row r="14" spans="2:12" x14ac:dyDescent="0.25">
      <c r="B14" s="14" t="s">
        <v>408</v>
      </c>
      <c r="C14" s="10">
        <v>0.79486194779116481</v>
      </c>
      <c r="I14" t="s">
        <v>412</v>
      </c>
    </row>
    <row r="31" spans="2:2" x14ac:dyDescent="0.25">
      <c r="B31" t="s">
        <v>418</v>
      </c>
    </row>
    <row r="34" spans="2:7" x14ac:dyDescent="0.25">
      <c r="B34" s="8" t="s">
        <v>417</v>
      </c>
      <c r="C34" s="11" t="s">
        <v>411</v>
      </c>
    </row>
    <row r="35" spans="2:7" x14ac:dyDescent="0.25">
      <c r="B35" s="14" t="s">
        <v>61</v>
      </c>
      <c r="C35" s="11">
        <v>383680</v>
      </c>
    </row>
    <row r="36" spans="2:7" x14ac:dyDescent="0.25">
      <c r="B36" s="14" t="s">
        <v>47</v>
      </c>
      <c r="C36" s="11">
        <v>88080</v>
      </c>
    </row>
    <row r="37" spans="2:7" x14ac:dyDescent="0.25">
      <c r="B37" s="14" t="s">
        <v>32</v>
      </c>
      <c r="C37" s="11">
        <v>80200.000400000004</v>
      </c>
      <c r="G37" t="s">
        <v>412</v>
      </c>
    </row>
    <row r="38" spans="2:7" x14ac:dyDescent="0.25">
      <c r="B38" s="14" t="s">
        <v>408</v>
      </c>
      <c r="C38" s="11">
        <v>551960.00040000002</v>
      </c>
    </row>
    <row r="56" spans="2:4" x14ac:dyDescent="0.25">
      <c r="B56" t="s">
        <v>419</v>
      </c>
    </row>
    <row r="58" spans="2:4" x14ac:dyDescent="0.25">
      <c r="B58" s="8" t="s">
        <v>417</v>
      </c>
      <c r="C58" t="s">
        <v>420</v>
      </c>
      <c r="D58" s="15" t="s">
        <v>414</v>
      </c>
    </row>
    <row r="59" spans="2:4" x14ac:dyDescent="0.25">
      <c r="B59" s="14" t="s">
        <v>61</v>
      </c>
      <c r="C59" s="11">
        <v>161760</v>
      </c>
      <c r="D59" s="11">
        <v>221920</v>
      </c>
    </row>
    <row r="60" spans="2:4" x14ac:dyDescent="0.25">
      <c r="B60" s="14" t="s">
        <v>32</v>
      </c>
      <c r="C60" s="11">
        <v>14700</v>
      </c>
      <c r="D60" s="11">
        <v>65500.000400000004</v>
      </c>
    </row>
    <row r="61" spans="2:4" x14ac:dyDescent="0.25">
      <c r="B61" s="14" t="s">
        <v>47</v>
      </c>
      <c r="C61" s="11">
        <v>33200</v>
      </c>
      <c r="D61" s="11">
        <v>54880</v>
      </c>
    </row>
    <row r="62" spans="2:4" x14ac:dyDescent="0.25">
      <c r="B62" s="14" t="s">
        <v>408</v>
      </c>
      <c r="C62" s="11">
        <v>209660</v>
      </c>
      <c r="D62" s="11">
        <v>342300.00040000002</v>
      </c>
    </row>
    <row r="80" spans="2:2" x14ac:dyDescent="0.25">
      <c r="B80" t="s">
        <v>421</v>
      </c>
    </row>
    <row r="82" spans="2:5" x14ac:dyDescent="0.25">
      <c r="B82" s="39" t="s">
        <v>422</v>
      </c>
      <c r="C82" s="39"/>
      <c r="D82" s="39"/>
      <c r="E82" s="39"/>
    </row>
    <row r="83" spans="2:5" x14ac:dyDescent="0.25">
      <c r="B83" s="39"/>
      <c r="C83" s="39"/>
      <c r="D83" s="39"/>
      <c r="E83" s="39"/>
    </row>
    <row r="84" spans="2:5" x14ac:dyDescent="0.25">
      <c r="B84" s="39"/>
      <c r="C84" s="39"/>
      <c r="D84" s="39"/>
      <c r="E84" s="39"/>
    </row>
    <row r="85" spans="2:5" ht="39.75" customHeight="1" x14ac:dyDescent="0.25">
      <c r="B85" s="39"/>
      <c r="C85" s="39"/>
      <c r="D85" s="39"/>
      <c r="E85" s="39"/>
    </row>
  </sheetData>
  <mergeCells count="1">
    <mergeCell ref="B82:E85"/>
  </mergeCells>
  <pageMargins left="0.511811024" right="0.511811024" top="0.78740157499999996" bottom="0.78740157499999996" header="0.31496062000000002" footer="0.31496062000000002"/>
  <pageSetup paperSize="9" scale="53"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8389-5F09-40A7-A885-C4FC2EA31770}">
  <sheetPr>
    <pageSetUpPr fitToPage="1"/>
  </sheetPr>
  <dimension ref="A1"/>
  <sheetViews>
    <sheetView showGridLines="0" zoomScale="80" zoomScaleNormal="80" workbookViewId="0">
      <selection activeCell="P19" sqref="P19"/>
    </sheetView>
  </sheetViews>
  <sheetFormatPr defaultRowHeight="15" x14ac:dyDescent="0.25"/>
  <cols>
    <col min="1" max="1" width="4.42578125" customWidth="1"/>
    <col min="12" max="12" width="4.140625" customWidth="1"/>
    <col min="19" max="19" width="6.85546875" customWidth="1"/>
  </cols>
  <sheetData/>
  <pageMargins left="0.511811024" right="0.511811024" top="0.78740157499999996" bottom="0.78740157499999996" header="0.31496062000000002" footer="0.31496062000000002"/>
  <pageSetup paperSize="9" scale="5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359E-87CB-4211-983C-654F43DCD601}">
  <sheetPr>
    <pageSetUpPr fitToPage="1"/>
  </sheetPr>
  <dimension ref="B2:G148"/>
  <sheetViews>
    <sheetView showGridLines="0" topLeftCell="A138" zoomScale="85" zoomScaleNormal="85" workbookViewId="0">
      <selection activeCell="B140" sqref="B140:F141"/>
    </sheetView>
  </sheetViews>
  <sheetFormatPr defaultRowHeight="15" x14ac:dyDescent="0.25"/>
  <cols>
    <col min="2" max="2" width="24.140625" bestFit="1" customWidth="1"/>
    <col min="3" max="3" width="30.85546875" bestFit="1" customWidth="1"/>
    <col min="4" max="4" width="31.85546875" bestFit="1" customWidth="1"/>
    <col min="5" max="6" width="10.7109375" bestFit="1" customWidth="1"/>
    <col min="7" max="7" width="16.140625" bestFit="1" customWidth="1"/>
    <col min="8" max="8" width="22.85546875" bestFit="1" customWidth="1"/>
    <col min="9" max="9" width="8.28515625" bestFit="1" customWidth="1"/>
    <col min="10" max="10" width="21" bestFit="1" customWidth="1"/>
    <col min="11" max="11" width="34" bestFit="1" customWidth="1"/>
    <col min="12" max="12" width="16.85546875" bestFit="1" customWidth="1"/>
    <col min="13" max="13" width="18.5703125" bestFit="1" customWidth="1"/>
    <col min="14" max="14" width="6.140625" bestFit="1" customWidth="1"/>
    <col min="15" max="15" width="17.28515625" bestFit="1" customWidth="1"/>
    <col min="16" max="16" width="21.7109375" bestFit="1" customWidth="1"/>
    <col min="17" max="17" width="10.7109375" bestFit="1" customWidth="1"/>
  </cols>
  <sheetData>
    <row r="2" spans="2:7" ht="21" customHeight="1" x14ac:dyDescent="0.25">
      <c r="B2" s="40" t="s">
        <v>432</v>
      </c>
      <c r="C2" s="40"/>
      <c r="D2" s="40"/>
      <c r="E2" s="40"/>
      <c r="F2" s="40"/>
      <c r="G2" s="40"/>
    </row>
    <row r="3" spans="2:7" x14ac:dyDescent="0.25">
      <c r="B3" s="40"/>
      <c r="C3" s="40"/>
      <c r="D3" s="40"/>
      <c r="E3" s="40"/>
      <c r="F3" s="40"/>
      <c r="G3" s="40"/>
    </row>
    <row r="4" spans="2:7" ht="21" x14ac:dyDescent="0.25">
      <c r="B4" s="20"/>
      <c r="C4" s="20"/>
      <c r="D4" s="20"/>
      <c r="E4" s="20"/>
      <c r="F4" s="20"/>
      <c r="G4" s="20"/>
    </row>
    <row r="5" spans="2:7" ht="21" x14ac:dyDescent="0.25">
      <c r="B5" s="21" t="s">
        <v>434</v>
      </c>
      <c r="C5" s="20"/>
      <c r="D5" s="20"/>
      <c r="E5" s="20"/>
      <c r="F5" s="20"/>
      <c r="G5" s="20"/>
    </row>
    <row r="6" spans="2:7" ht="15" customHeight="1" x14ac:dyDescent="0.25">
      <c r="B6" s="21"/>
      <c r="C6" s="20"/>
      <c r="D6" s="20"/>
      <c r="E6" s="20"/>
      <c r="F6" s="20"/>
      <c r="G6" s="20"/>
    </row>
    <row r="8" spans="2:7" x14ac:dyDescent="0.25">
      <c r="B8" s="8" t="s">
        <v>417</v>
      </c>
      <c r="C8" s="15" t="s">
        <v>423</v>
      </c>
      <c r="D8" s="15" t="s">
        <v>424</v>
      </c>
      <c r="E8" s="15" t="s">
        <v>425</v>
      </c>
    </row>
    <row r="9" spans="2:7" x14ac:dyDescent="0.25">
      <c r="B9" s="14" t="s">
        <v>61</v>
      </c>
      <c r="C9" s="10">
        <v>0.75143369175627261</v>
      </c>
      <c r="D9" s="10">
        <v>1.6501738720029664</v>
      </c>
      <c r="E9" s="10">
        <v>0.73933740062698572</v>
      </c>
    </row>
    <row r="10" spans="2:7" x14ac:dyDescent="0.25">
      <c r="B10" s="14" t="s">
        <v>32</v>
      </c>
      <c r="C10" s="10">
        <v>0.91027397260274001</v>
      </c>
      <c r="D10" s="10">
        <v>1.0057943766783002</v>
      </c>
      <c r="E10" s="10">
        <v>0.97606050779323694</v>
      </c>
    </row>
    <row r="11" spans="2:7" x14ac:dyDescent="0.25">
      <c r="B11" s="14" t="s">
        <v>47</v>
      </c>
      <c r="C11" s="10">
        <v>0.93853046594982126</v>
      </c>
      <c r="D11" s="10">
        <v>0.83259019176554683</v>
      </c>
      <c r="E11" s="10">
        <v>0.84696309801726666</v>
      </c>
    </row>
    <row r="12" spans="2:7" x14ac:dyDescent="0.25">
      <c r="B12" s="14" t="s">
        <v>408</v>
      </c>
      <c r="C12" s="10">
        <v>0.87369477911646531</v>
      </c>
      <c r="D12" s="10">
        <v>1.1377802317033243</v>
      </c>
      <c r="E12" s="10">
        <v>0.87358668828833752</v>
      </c>
    </row>
    <row r="29" spans="2:6" ht="15" customHeight="1" x14ac:dyDescent="0.25">
      <c r="B29" s="41" t="s">
        <v>433</v>
      </c>
      <c r="C29" s="41"/>
      <c r="D29" s="41"/>
      <c r="E29" s="41"/>
      <c r="F29" s="41"/>
    </row>
    <row r="30" spans="2:6" x14ac:dyDescent="0.25">
      <c r="B30" s="41"/>
      <c r="C30" s="41"/>
      <c r="D30" s="41"/>
      <c r="E30" s="41"/>
      <c r="F30" s="41"/>
    </row>
    <row r="31" spans="2:6" x14ac:dyDescent="0.25">
      <c r="B31" s="41"/>
      <c r="C31" s="41"/>
      <c r="D31" s="41"/>
      <c r="E31" s="41"/>
      <c r="F31" s="41"/>
    </row>
    <row r="32" spans="2:6" x14ac:dyDescent="0.25">
      <c r="B32" s="41"/>
      <c r="C32" s="41"/>
      <c r="D32" s="41"/>
      <c r="E32" s="41"/>
      <c r="F32" s="41"/>
    </row>
    <row r="33" spans="2:6" x14ac:dyDescent="0.25">
      <c r="B33" s="41"/>
      <c r="C33" s="41"/>
      <c r="D33" s="41"/>
      <c r="E33" s="41"/>
      <c r="F33" s="41"/>
    </row>
    <row r="34" spans="2:6" x14ac:dyDescent="0.25">
      <c r="B34" s="19"/>
      <c r="C34" s="19"/>
      <c r="D34" s="19"/>
      <c r="E34" s="19"/>
      <c r="F34" s="19"/>
    </row>
    <row r="35" spans="2:6" ht="18.75" x14ac:dyDescent="0.25">
      <c r="B35" s="21" t="s">
        <v>435</v>
      </c>
      <c r="C35" s="19"/>
      <c r="D35" s="19"/>
      <c r="E35" s="19"/>
      <c r="F35" s="19"/>
    </row>
    <row r="36" spans="2:6" ht="18.75" x14ac:dyDescent="0.25">
      <c r="B36" s="21"/>
      <c r="C36" s="19"/>
      <c r="D36" s="19"/>
      <c r="E36" s="19"/>
      <c r="F36" s="19"/>
    </row>
    <row r="38" spans="2:6" x14ac:dyDescent="0.25">
      <c r="B38" s="8" t="s">
        <v>417</v>
      </c>
      <c r="C38" s="15" t="s">
        <v>426</v>
      </c>
      <c r="D38" s="15" t="s">
        <v>427</v>
      </c>
      <c r="E38" s="15" t="s">
        <v>428</v>
      </c>
    </row>
    <row r="39" spans="2:6" x14ac:dyDescent="0.25">
      <c r="B39" s="14" t="s">
        <v>68</v>
      </c>
      <c r="C39" s="16">
        <v>788</v>
      </c>
      <c r="D39" s="10">
        <v>0.31319554848966613</v>
      </c>
      <c r="E39" s="10">
        <v>0.31319554848966613</v>
      </c>
    </row>
    <row r="40" spans="2:6" x14ac:dyDescent="0.25">
      <c r="B40" s="14" t="s">
        <v>34</v>
      </c>
      <c r="C40" s="16">
        <v>487</v>
      </c>
      <c r="D40" s="10">
        <v>0.19356120826709061</v>
      </c>
      <c r="E40" s="10">
        <v>0.5067567567567568</v>
      </c>
    </row>
    <row r="41" spans="2:6" x14ac:dyDescent="0.25">
      <c r="B41" s="14" t="s">
        <v>41</v>
      </c>
      <c r="C41" s="16">
        <v>286</v>
      </c>
      <c r="D41" s="10">
        <v>0.11367249602543721</v>
      </c>
      <c r="E41" s="10">
        <v>0.62042925278219396</v>
      </c>
    </row>
    <row r="42" spans="2:6" x14ac:dyDescent="0.25">
      <c r="B42" s="14" t="s">
        <v>102</v>
      </c>
      <c r="C42" s="16">
        <v>262</v>
      </c>
      <c r="D42" s="10">
        <v>0.1041335453100159</v>
      </c>
      <c r="E42" s="10">
        <v>0.7245627980922098</v>
      </c>
    </row>
    <row r="43" spans="2:6" x14ac:dyDescent="0.25">
      <c r="B43" s="14" t="s">
        <v>88</v>
      </c>
      <c r="C43" s="16">
        <v>163</v>
      </c>
      <c r="D43" s="10">
        <v>6.4785373608903019E-2</v>
      </c>
      <c r="E43" s="10">
        <v>0.78934817170111293</v>
      </c>
    </row>
    <row r="44" spans="2:6" x14ac:dyDescent="0.25">
      <c r="B44" s="14" t="s">
        <v>95</v>
      </c>
      <c r="C44" s="16">
        <v>131</v>
      </c>
      <c r="D44" s="10">
        <v>5.2066772655007948E-2</v>
      </c>
      <c r="E44" s="10">
        <v>0.84141494435612085</v>
      </c>
    </row>
    <row r="45" spans="2:6" x14ac:dyDescent="0.25">
      <c r="B45" s="14" t="s">
        <v>82</v>
      </c>
      <c r="C45" s="16">
        <v>101</v>
      </c>
      <c r="D45" s="10">
        <v>4.0143084260731321E-2</v>
      </c>
      <c r="E45" s="10">
        <v>0.88155802861685217</v>
      </c>
    </row>
    <row r="46" spans="2:6" x14ac:dyDescent="0.25">
      <c r="B46" s="14" t="s">
        <v>92</v>
      </c>
      <c r="C46" s="16">
        <v>71</v>
      </c>
      <c r="D46" s="10">
        <v>2.8219395866454691E-2</v>
      </c>
      <c r="E46" s="10">
        <v>0.90977742448330678</v>
      </c>
    </row>
    <row r="47" spans="2:6" x14ac:dyDescent="0.25">
      <c r="B47" s="14" t="s">
        <v>104</v>
      </c>
      <c r="C47" s="16">
        <v>58</v>
      </c>
      <c r="D47" s="10">
        <v>2.3052464228934817E-2</v>
      </c>
      <c r="E47" s="10">
        <v>0.93282988871224171</v>
      </c>
    </row>
    <row r="48" spans="2:6" x14ac:dyDescent="0.25">
      <c r="B48" s="14" t="s">
        <v>78</v>
      </c>
      <c r="C48" s="16">
        <v>58</v>
      </c>
      <c r="D48" s="10">
        <v>2.3052464228934817E-2</v>
      </c>
      <c r="E48" s="10">
        <v>0.95588235294117652</v>
      </c>
    </row>
    <row r="49" spans="2:5" x14ac:dyDescent="0.25">
      <c r="B49" s="14" t="s">
        <v>53</v>
      </c>
      <c r="C49" s="16">
        <v>58</v>
      </c>
      <c r="D49" s="10">
        <v>2.3052464228934817E-2</v>
      </c>
      <c r="E49" s="10">
        <v>0.97893481717011133</v>
      </c>
    </row>
    <row r="50" spans="2:5" x14ac:dyDescent="0.25">
      <c r="B50" s="14" t="s">
        <v>48</v>
      </c>
      <c r="C50" s="16">
        <v>33</v>
      </c>
      <c r="D50" s="10">
        <v>1.3116057233704292E-2</v>
      </c>
      <c r="E50" s="10">
        <v>0.99205087440381556</v>
      </c>
    </row>
    <row r="51" spans="2:5" x14ac:dyDescent="0.25">
      <c r="B51" s="14" t="s">
        <v>85</v>
      </c>
      <c r="C51" s="16">
        <v>20</v>
      </c>
      <c r="D51" s="10">
        <v>7.9491255961844191E-3</v>
      </c>
      <c r="E51" s="10">
        <v>1</v>
      </c>
    </row>
    <row r="52" spans="2:5" x14ac:dyDescent="0.25">
      <c r="B52" s="14" t="s">
        <v>408</v>
      </c>
      <c r="C52" s="16">
        <v>2516</v>
      </c>
      <c r="D52" s="17">
        <v>1</v>
      </c>
      <c r="E52" s="10"/>
    </row>
    <row r="83" spans="2:6" x14ac:dyDescent="0.25">
      <c r="B83" s="41" t="s">
        <v>436</v>
      </c>
      <c r="C83" s="41"/>
      <c r="D83" s="41"/>
      <c r="E83" s="41"/>
      <c r="F83" s="41"/>
    </row>
    <row r="84" spans="2:6" x14ac:dyDescent="0.25">
      <c r="B84" s="41"/>
      <c r="C84" s="41"/>
      <c r="D84" s="41"/>
      <c r="E84" s="41"/>
      <c r="F84" s="41"/>
    </row>
    <row r="85" spans="2:6" x14ac:dyDescent="0.25">
      <c r="B85" s="41"/>
      <c r="C85" s="41"/>
      <c r="D85" s="41"/>
      <c r="E85" s="41"/>
      <c r="F85" s="41"/>
    </row>
    <row r="86" spans="2:6" x14ac:dyDescent="0.25">
      <c r="B86" s="41"/>
      <c r="C86" s="41"/>
      <c r="D86" s="41"/>
      <c r="E86" s="41"/>
      <c r="F86" s="41"/>
    </row>
    <row r="87" spans="2:6" x14ac:dyDescent="0.25">
      <c r="B87" s="41"/>
      <c r="C87" s="41"/>
      <c r="D87" s="41"/>
      <c r="E87" s="41"/>
      <c r="F87" s="41"/>
    </row>
    <row r="89" spans="2:6" ht="18.75" x14ac:dyDescent="0.25">
      <c r="B89" s="21" t="s">
        <v>437</v>
      </c>
    </row>
    <row r="92" spans="2:6" x14ac:dyDescent="0.25">
      <c r="B92" s="8" t="s">
        <v>429</v>
      </c>
      <c r="C92" s="15" t="s">
        <v>410</v>
      </c>
      <c r="D92" s="15" t="s">
        <v>430</v>
      </c>
      <c r="E92" s="18" t="s">
        <v>431</v>
      </c>
    </row>
    <row r="93" spans="2:6" x14ac:dyDescent="0.25">
      <c r="B93" s="14" t="s">
        <v>56</v>
      </c>
      <c r="C93" s="10">
        <v>0.78724885844748804</v>
      </c>
      <c r="D93" s="18">
        <v>1375</v>
      </c>
      <c r="E93" s="18">
        <v>1232</v>
      </c>
    </row>
    <row r="94" spans="2:6" x14ac:dyDescent="0.25">
      <c r="B94" s="14" t="s">
        <v>27</v>
      </c>
      <c r="C94" s="10">
        <v>0.8140411646586343</v>
      </c>
      <c r="D94" s="18">
        <v>879</v>
      </c>
      <c r="E94" s="18">
        <v>533</v>
      </c>
    </row>
    <row r="95" spans="2:6" x14ac:dyDescent="0.25">
      <c r="B95" s="14" t="s">
        <v>96</v>
      </c>
      <c r="C95" s="10">
        <v>0.69125000000000036</v>
      </c>
      <c r="D95" s="18">
        <v>262</v>
      </c>
      <c r="E95" s="18">
        <v>292</v>
      </c>
    </row>
    <row r="96" spans="2:6" x14ac:dyDescent="0.25">
      <c r="B96" s="14" t="s">
        <v>408</v>
      </c>
      <c r="C96" s="10">
        <v>0.79486194779116515</v>
      </c>
      <c r="D96" s="18">
        <v>2516</v>
      </c>
      <c r="E96" s="18">
        <v>2057</v>
      </c>
    </row>
    <row r="117" spans="2:6" x14ac:dyDescent="0.25">
      <c r="B117" s="8" t="s">
        <v>438</v>
      </c>
      <c r="C117" s="8" t="s">
        <v>440</v>
      </c>
    </row>
    <row r="118" spans="2:6" x14ac:dyDescent="0.25">
      <c r="B118" s="8" t="s">
        <v>439</v>
      </c>
      <c r="C118" t="s">
        <v>27</v>
      </c>
      <c r="D118" t="s">
        <v>96</v>
      </c>
      <c r="E118" t="s">
        <v>56</v>
      </c>
      <c r="F118" s="15" t="s">
        <v>408</v>
      </c>
    </row>
    <row r="119" spans="2:6" x14ac:dyDescent="0.25">
      <c r="B119" s="14" t="s">
        <v>68</v>
      </c>
      <c r="C119" s="18"/>
      <c r="D119" s="18"/>
      <c r="E119" s="18">
        <v>788</v>
      </c>
      <c r="F119" s="18">
        <v>788</v>
      </c>
    </row>
    <row r="120" spans="2:6" x14ac:dyDescent="0.25">
      <c r="B120" s="14" t="s">
        <v>34</v>
      </c>
      <c r="C120" s="18">
        <v>160</v>
      </c>
      <c r="D120" s="18"/>
      <c r="E120" s="18">
        <v>327</v>
      </c>
      <c r="F120" s="18">
        <v>487</v>
      </c>
    </row>
    <row r="121" spans="2:6" x14ac:dyDescent="0.25">
      <c r="B121" s="14" t="s">
        <v>41</v>
      </c>
      <c r="C121" s="18">
        <v>286</v>
      </c>
      <c r="D121" s="18"/>
      <c r="E121" s="18"/>
      <c r="F121" s="18">
        <v>286</v>
      </c>
    </row>
    <row r="122" spans="2:6" x14ac:dyDescent="0.25">
      <c r="B122" s="22" t="s">
        <v>102</v>
      </c>
      <c r="C122" s="23"/>
      <c r="D122" s="23">
        <v>262</v>
      </c>
      <c r="E122" s="23"/>
      <c r="F122" s="23">
        <v>262</v>
      </c>
    </row>
    <row r="123" spans="2:6" x14ac:dyDescent="0.25">
      <c r="B123" s="14" t="s">
        <v>88</v>
      </c>
      <c r="C123" s="18">
        <v>163</v>
      </c>
      <c r="D123" s="18"/>
      <c r="E123" s="18"/>
      <c r="F123" s="18">
        <v>163</v>
      </c>
    </row>
    <row r="124" spans="2:6" x14ac:dyDescent="0.25">
      <c r="B124" s="14" t="s">
        <v>95</v>
      </c>
      <c r="C124" s="18"/>
      <c r="D124" s="18"/>
      <c r="E124" s="18">
        <v>131</v>
      </c>
      <c r="F124" s="18">
        <v>131</v>
      </c>
    </row>
    <row r="125" spans="2:6" x14ac:dyDescent="0.25">
      <c r="B125" s="14" t="s">
        <v>82</v>
      </c>
      <c r="C125" s="18">
        <v>101</v>
      </c>
      <c r="D125" s="18"/>
      <c r="E125" s="18"/>
      <c r="F125" s="18">
        <v>101</v>
      </c>
    </row>
    <row r="126" spans="2:6" x14ac:dyDescent="0.25">
      <c r="B126" s="14" t="s">
        <v>92</v>
      </c>
      <c r="C126" s="18"/>
      <c r="D126" s="18"/>
      <c r="E126" s="18">
        <v>71</v>
      </c>
      <c r="F126" s="18">
        <v>71</v>
      </c>
    </row>
    <row r="127" spans="2:6" x14ac:dyDescent="0.25">
      <c r="B127" s="14" t="s">
        <v>104</v>
      </c>
      <c r="C127" s="18">
        <v>58</v>
      </c>
      <c r="D127" s="18"/>
      <c r="E127" s="18"/>
      <c r="F127" s="18">
        <v>58</v>
      </c>
    </row>
    <row r="128" spans="2:6" x14ac:dyDescent="0.25">
      <c r="B128" s="14" t="s">
        <v>78</v>
      </c>
      <c r="C128" s="18"/>
      <c r="D128" s="18"/>
      <c r="E128" s="18">
        <v>58</v>
      </c>
      <c r="F128" s="18">
        <v>58</v>
      </c>
    </row>
    <row r="129" spans="2:6" x14ac:dyDescent="0.25">
      <c r="B129" s="14" t="s">
        <v>53</v>
      </c>
      <c r="C129" s="18">
        <v>58</v>
      </c>
      <c r="D129" s="18"/>
      <c r="E129" s="18"/>
      <c r="F129" s="18">
        <v>58</v>
      </c>
    </row>
    <row r="130" spans="2:6" x14ac:dyDescent="0.25">
      <c r="B130" s="14" t="s">
        <v>48</v>
      </c>
      <c r="C130" s="18">
        <v>33</v>
      </c>
      <c r="D130" s="18"/>
      <c r="E130" s="18"/>
      <c r="F130" s="18">
        <v>33</v>
      </c>
    </row>
    <row r="131" spans="2:6" x14ac:dyDescent="0.25">
      <c r="B131" s="14" t="s">
        <v>85</v>
      </c>
      <c r="C131" s="18">
        <v>20</v>
      </c>
      <c r="D131" s="18"/>
      <c r="E131" s="18"/>
      <c r="F131" s="18">
        <v>20</v>
      </c>
    </row>
    <row r="132" spans="2:6" x14ac:dyDescent="0.25">
      <c r="B132" s="14" t="s">
        <v>408</v>
      </c>
      <c r="C132" s="18">
        <v>879</v>
      </c>
      <c r="D132" s="18">
        <v>262</v>
      </c>
      <c r="E132" s="18">
        <v>1375</v>
      </c>
      <c r="F132" s="18">
        <v>2516</v>
      </c>
    </row>
    <row r="134" spans="2:6" x14ac:dyDescent="0.25">
      <c r="B134" s="39" t="s">
        <v>441</v>
      </c>
      <c r="C134" s="39"/>
      <c r="D134" s="39"/>
      <c r="E134" s="39"/>
      <c r="F134" s="39"/>
    </row>
    <row r="135" spans="2:6" x14ac:dyDescent="0.25">
      <c r="B135" s="39"/>
      <c r="C135" s="39"/>
      <c r="D135" s="39"/>
      <c r="E135" s="39"/>
      <c r="F135" s="39"/>
    </row>
    <row r="136" spans="2:6" x14ac:dyDescent="0.25">
      <c r="B136" s="39"/>
      <c r="C136" s="39"/>
      <c r="D136" s="39"/>
      <c r="E136" s="39"/>
      <c r="F136" s="39"/>
    </row>
    <row r="137" spans="2:6" x14ac:dyDescent="0.25">
      <c r="B137" s="39"/>
      <c r="C137" s="39"/>
      <c r="D137" s="39"/>
      <c r="E137" s="39"/>
      <c r="F137" s="39"/>
    </row>
    <row r="140" spans="2:6" x14ac:dyDescent="0.25">
      <c r="B140" s="42" t="s">
        <v>442</v>
      </c>
      <c r="C140" s="41"/>
      <c r="D140" s="41"/>
      <c r="E140" s="41"/>
      <c r="F140" s="41"/>
    </row>
    <row r="141" spans="2:6" x14ac:dyDescent="0.25">
      <c r="B141" s="41"/>
      <c r="C141" s="41"/>
      <c r="D141" s="41"/>
      <c r="E141" s="41"/>
      <c r="F141" s="41"/>
    </row>
    <row r="144" spans="2:6" x14ac:dyDescent="0.25">
      <c r="B144" s="8" t="s">
        <v>5</v>
      </c>
      <c r="C144" t="s">
        <v>96</v>
      </c>
    </row>
    <row r="146" spans="2:4" x14ac:dyDescent="0.25">
      <c r="B146" s="8" t="s">
        <v>491</v>
      </c>
      <c r="C146" t="s">
        <v>438</v>
      </c>
      <c r="D146" t="s">
        <v>492</v>
      </c>
    </row>
    <row r="147" spans="2:4" x14ac:dyDescent="0.25">
      <c r="B147" s="14" t="s">
        <v>102</v>
      </c>
      <c r="C147" s="3">
        <v>262</v>
      </c>
      <c r="D147" s="38">
        <v>1</v>
      </c>
    </row>
    <row r="148" spans="2:4" x14ac:dyDescent="0.25">
      <c r="B148" s="14" t="s">
        <v>408</v>
      </c>
      <c r="C148" s="3">
        <v>262</v>
      </c>
      <c r="D148" s="38">
        <v>1</v>
      </c>
    </row>
  </sheetData>
  <mergeCells count="5">
    <mergeCell ref="B2:G3"/>
    <mergeCell ref="B29:F33"/>
    <mergeCell ref="B83:F87"/>
    <mergeCell ref="B134:F137"/>
    <mergeCell ref="B140:F141"/>
  </mergeCells>
  <pageMargins left="0.511811024" right="0.511811024" top="0.78740157499999996" bottom="0.78740157499999996" header="0.31496062000000002" footer="0.31496062000000002"/>
  <pageSetup paperSize="9" scale="35" fitToWidth="0" orientation="portrait" r:id="rId6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3819-0591-4698-87E4-6EFF079B495D}">
  <sheetPr>
    <pageSetUpPr fitToPage="1"/>
  </sheetPr>
  <dimension ref="B2:L203"/>
  <sheetViews>
    <sheetView showGridLines="0" topLeftCell="A14" zoomScale="90" zoomScaleNormal="90" workbookViewId="0">
      <selection activeCell="A34" sqref="A34"/>
    </sheetView>
  </sheetViews>
  <sheetFormatPr defaultRowHeight="15" x14ac:dyDescent="0.25"/>
  <cols>
    <col min="2" max="2" width="49.7109375" bestFit="1" customWidth="1"/>
    <col min="3" max="3" width="22.140625" bestFit="1" customWidth="1"/>
    <col min="4" max="4" width="18.85546875" bestFit="1" customWidth="1"/>
    <col min="5" max="5" width="23.85546875" bestFit="1" customWidth="1"/>
    <col min="6" max="6" width="18.85546875" bestFit="1" customWidth="1"/>
    <col min="7" max="8" width="6" bestFit="1" customWidth="1"/>
    <col min="9" max="9" width="16.42578125" bestFit="1" customWidth="1"/>
    <col min="10" max="10" width="6" bestFit="1" customWidth="1"/>
    <col min="11" max="11" width="10.5703125" customWidth="1"/>
    <col min="12" max="12" width="1.42578125" bestFit="1" customWidth="1"/>
    <col min="13" max="13" width="23.85546875" bestFit="1" customWidth="1"/>
    <col min="14" max="14" width="21.5703125" bestFit="1" customWidth="1"/>
  </cols>
  <sheetData>
    <row r="2" spans="2:7" x14ac:dyDescent="0.25">
      <c r="B2" s="43" t="s">
        <v>443</v>
      </c>
      <c r="C2" s="43"/>
      <c r="D2" s="43"/>
      <c r="E2" s="43"/>
      <c r="F2" s="43"/>
      <c r="G2" s="43"/>
    </row>
    <row r="3" spans="2:7" x14ac:dyDescent="0.25">
      <c r="B3" s="43"/>
      <c r="C3" s="43"/>
      <c r="D3" s="43"/>
      <c r="E3" s="43"/>
      <c r="F3" s="43"/>
      <c r="G3" s="43"/>
    </row>
    <row r="5" spans="2:7" ht="18.75" x14ac:dyDescent="0.3">
      <c r="B5" s="24" t="s">
        <v>444</v>
      </c>
    </row>
    <row r="6" spans="2:7" ht="15" customHeight="1" x14ac:dyDescent="0.25">
      <c r="B6" s="25" t="s">
        <v>448</v>
      </c>
    </row>
    <row r="7" spans="2:7" ht="15" customHeight="1" x14ac:dyDescent="0.3">
      <c r="B7" s="24"/>
    </row>
    <row r="9" spans="2:7" x14ac:dyDescent="0.25">
      <c r="B9" s="8" t="s">
        <v>10</v>
      </c>
      <c r="C9" t="s">
        <v>61</v>
      </c>
    </row>
    <row r="11" spans="2:7" x14ac:dyDescent="0.25">
      <c r="B11" s="8" t="s">
        <v>429</v>
      </c>
      <c r="C11" t="s">
        <v>445</v>
      </c>
      <c r="D11" t="s">
        <v>446</v>
      </c>
      <c r="E11" t="s">
        <v>447</v>
      </c>
    </row>
    <row r="12" spans="2:7" x14ac:dyDescent="0.25">
      <c r="B12" s="14" t="s">
        <v>56</v>
      </c>
      <c r="C12" s="10">
        <v>0.6974842767295597</v>
      </c>
      <c r="D12" s="10">
        <v>2.0376163739614834</v>
      </c>
      <c r="E12" s="10">
        <v>0.65297711144830317</v>
      </c>
    </row>
    <row r="13" spans="2:7" x14ac:dyDescent="0.25">
      <c r="B13" s="14" t="s">
        <v>96</v>
      </c>
      <c r="C13" s="10">
        <v>0.78166666666666662</v>
      </c>
      <c r="D13" s="10">
        <v>1.1821151256588469</v>
      </c>
      <c r="E13" s="10">
        <v>0.75713293650793656</v>
      </c>
    </row>
    <row r="14" spans="2:7" x14ac:dyDescent="0.25">
      <c r="B14" s="14" t="s">
        <v>27</v>
      </c>
      <c r="C14" s="10">
        <v>0.86416666666666653</v>
      </c>
      <c r="D14" s="10">
        <v>1.0915099881570174</v>
      </c>
      <c r="E14" s="10">
        <v>0.95039663106954286</v>
      </c>
    </row>
    <row r="15" spans="2:7" x14ac:dyDescent="0.25">
      <c r="B15" s="14" t="s">
        <v>408</v>
      </c>
      <c r="C15" s="10">
        <v>0.7514336917562725</v>
      </c>
      <c r="D15" s="10">
        <v>1.6501738720029664</v>
      </c>
      <c r="E15" s="10">
        <v>0.73933740062698561</v>
      </c>
    </row>
    <row r="17" spans="2:12" x14ac:dyDescent="0.25">
      <c r="L17" t="s">
        <v>412</v>
      </c>
    </row>
    <row r="32" spans="2:12" x14ac:dyDescent="0.25">
      <c r="B32" s="26"/>
      <c r="C32" s="26"/>
      <c r="D32" s="26"/>
      <c r="E32" s="26"/>
      <c r="F32" s="26"/>
      <c r="G32" s="26"/>
      <c r="H32" s="26"/>
    </row>
    <row r="33" spans="2:8" x14ac:dyDescent="0.25">
      <c r="B33" s="26"/>
      <c r="C33" s="26"/>
      <c r="D33" s="26"/>
      <c r="E33" s="26"/>
      <c r="F33" s="26"/>
      <c r="G33" s="26"/>
      <c r="H33" s="26"/>
    </row>
    <row r="34" spans="2:8" x14ac:dyDescent="0.25">
      <c r="B34" s="26"/>
      <c r="C34" s="26"/>
      <c r="D34" s="26"/>
      <c r="E34" s="26"/>
      <c r="F34" s="26"/>
      <c r="G34" s="26"/>
      <c r="H34" s="26"/>
    </row>
    <row r="35" spans="2:8" x14ac:dyDescent="0.25">
      <c r="B35" s="26"/>
      <c r="C35" s="26"/>
      <c r="D35" s="26"/>
      <c r="E35" s="26"/>
      <c r="F35" s="26"/>
      <c r="G35" s="26"/>
      <c r="H35" s="26"/>
    </row>
    <row r="36" spans="2:8" x14ac:dyDescent="0.25">
      <c r="B36" s="26"/>
      <c r="C36" s="26"/>
      <c r="D36" s="26"/>
      <c r="E36" s="26"/>
      <c r="F36" s="26"/>
      <c r="G36" s="26"/>
      <c r="H36" s="26"/>
    </row>
    <row r="37" spans="2:8" ht="15.75" x14ac:dyDescent="0.25">
      <c r="B37" s="25" t="s">
        <v>449</v>
      </c>
    </row>
    <row r="38" spans="2:8" x14ac:dyDescent="0.25">
      <c r="F38" s="26"/>
      <c r="G38" s="26"/>
      <c r="H38" s="26"/>
    </row>
    <row r="39" spans="2:8" x14ac:dyDescent="0.25">
      <c r="B39" s="14"/>
      <c r="C39" s="10"/>
      <c r="D39" s="10"/>
      <c r="E39" s="26"/>
      <c r="F39" s="26"/>
      <c r="G39" s="26"/>
      <c r="H39" s="26"/>
    </row>
    <row r="40" spans="2:8" x14ac:dyDescent="0.25">
      <c r="B40" s="14"/>
    </row>
    <row r="41" spans="2:8" x14ac:dyDescent="0.25">
      <c r="B41" s="14"/>
    </row>
    <row r="53" spans="2:7" ht="15.75" x14ac:dyDescent="0.25">
      <c r="B53" s="25" t="s">
        <v>450</v>
      </c>
    </row>
    <row r="54" spans="2:7" ht="15.75" customHeight="1" x14ac:dyDescent="0.25">
      <c r="B54" s="27"/>
      <c r="C54" s="26"/>
      <c r="D54" s="26"/>
      <c r="E54" s="26"/>
      <c r="F54" s="26"/>
      <c r="G54" s="26"/>
    </row>
    <row r="55" spans="2:7" x14ac:dyDescent="0.25">
      <c r="B55" s="26"/>
      <c r="C55" s="26"/>
      <c r="D55" s="26"/>
      <c r="E55" s="26"/>
      <c r="F55" s="26"/>
      <c r="G55" s="26"/>
    </row>
    <row r="56" spans="2:7" x14ac:dyDescent="0.25">
      <c r="B56" s="26"/>
      <c r="C56" s="26"/>
      <c r="D56" s="26"/>
      <c r="E56" s="26"/>
      <c r="F56" s="26"/>
      <c r="G56" s="26"/>
    </row>
    <row r="57" spans="2:7" x14ac:dyDescent="0.25">
      <c r="B57" s="26"/>
      <c r="C57" s="26"/>
      <c r="D57" s="26"/>
      <c r="E57" s="26"/>
      <c r="F57" s="26"/>
      <c r="G57" s="26"/>
    </row>
    <row r="58" spans="2:7" ht="15.75" x14ac:dyDescent="0.25">
      <c r="B58" s="25" t="s">
        <v>452</v>
      </c>
      <c r="C58" s="26"/>
      <c r="D58" s="26"/>
      <c r="E58" s="26"/>
      <c r="F58" s="26"/>
      <c r="G58" s="26"/>
    </row>
    <row r="59" spans="2:7" x14ac:dyDescent="0.25">
      <c r="B59" s="26"/>
      <c r="C59" s="26"/>
      <c r="D59" s="26"/>
      <c r="E59" s="26"/>
      <c r="F59" s="26"/>
      <c r="G59" s="26"/>
    </row>
    <row r="60" spans="2:7" x14ac:dyDescent="0.25">
      <c r="C60" s="26"/>
      <c r="D60" s="26"/>
      <c r="E60" s="26"/>
      <c r="F60" s="26"/>
      <c r="G60" s="26"/>
    </row>
    <row r="61" spans="2:7" ht="15.75" x14ac:dyDescent="0.25">
      <c r="B61" s="25" t="s">
        <v>451</v>
      </c>
    </row>
    <row r="67" spans="2:5" ht="15" customHeight="1" x14ac:dyDescent="0.3">
      <c r="B67" s="24" t="s">
        <v>456</v>
      </c>
    </row>
    <row r="69" spans="2:5" ht="15" customHeight="1" x14ac:dyDescent="0.25">
      <c r="B69" s="25" t="s">
        <v>457</v>
      </c>
    </row>
    <row r="71" spans="2:5" x14ac:dyDescent="0.25">
      <c r="B71" s="8" t="s">
        <v>10</v>
      </c>
      <c r="C71" t="s">
        <v>61</v>
      </c>
    </row>
    <row r="73" spans="2:5" x14ac:dyDescent="0.25">
      <c r="B73" s="8" t="s">
        <v>459</v>
      </c>
      <c r="C73" s="15" t="s">
        <v>453</v>
      </c>
      <c r="D73" s="15" t="s">
        <v>454</v>
      </c>
      <c r="E73" s="15" t="s">
        <v>455</v>
      </c>
    </row>
    <row r="74" spans="2:5" x14ac:dyDescent="0.25">
      <c r="B74" s="14" t="s">
        <v>68</v>
      </c>
      <c r="C74" s="18">
        <v>788</v>
      </c>
      <c r="D74" s="10">
        <v>0.56813266041816868</v>
      </c>
      <c r="E74" s="10">
        <v>0.56813266041816868</v>
      </c>
    </row>
    <row r="75" spans="2:5" x14ac:dyDescent="0.25">
      <c r="B75" s="14" t="s">
        <v>102</v>
      </c>
      <c r="C75" s="18">
        <v>262</v>
      </c>
      <c r="D75" s="10">
        <v>0.18889689978370583</v>
      </c>
      <c r="E75" s="10">
        <v>0.75702956020187451</v>
      </c>
    </row>
    <row r="76" spans="2:5" x14ac:dyDescent="0.25">
      <c r="B76" s="14" t="s">
        <v>34</v>
      </c>
      <c r="C76" s="18">
        <v>174</v>
      </c>
      <c r="D76" s="10">
        <v>0.12545061283345349</v>
      </c>
      <c r="E76" s="10">
        <v>0.882480173035328</v>
      </c>
    </row>
    <row r="77" spans="2:5" x14ac:dyDescent="0.25">
      <c r="B77" s="14" t="s">
        <v>88</v>
      </c>
      <c r="C77" s="18">
        <v>163</v>
      </c>
      <c r="D77" s="10">
        <v>0.11751982696467195</v>
      </c>
      <c r="E77" s="10">
        <v>1</v>
      </c>
    </row>
    <row r="78" spans="2:5" x14ac:dyDescent="0.25">
      <c r="B78" s="14" t="s">
        <v>408</v>
      </c>
      <c r="C78" s="18">
        <v>1387</v>
      </c>
      <c r="D78" s="10">
        <v>1</v>
      </c>
      <c r="E78" s="17"/>
    </row>
    <row r="100" spans="2:3" ht="15.75" x14ac:dyDescent="0.25">
      <c r="B100" s="25" t="s">
        <v>450</v>
      </c>
    </row>
    <row r="106" spans="2:3" ht="15.75" x14ac:dyDescent="0.25">
      <c r="B106" s="25" t="s">
        <v>458</v>
      </c>
    </row>
    <row r="108" spans="2:3" x14ac:dyDescent="0.25">
      <c r="B108" s="8" t="s">
        <v>10</v>
      </c>
      <c r="C108" t="s">
        <v>61</v>
      </c>
    </row>
    <row r="110" spans="2:3" x14ac:dyDescent="0.25">
      <c r="B110" s="8" t="s">
        <v>440</v>
      </c>
      <c r="C110" s="15" t="s">
        <v>460</v>
      </c>
    </row>
    <row r="111" spans="2:3" x14ac:dyDescent="0.25">
      <c r="B111" s="14" t="s">
        <v>56</v>
      </c>
      <c r="C111" s="18">
        <v>962</v>
      </c>
    </row>
    <row r="112" spans="2:3" x14ac:dyDescent="0.25">
      <c r="B112" s="14" t="s">
        <v>96</v>
      </c>
      <c r="C112" s="18">
        <v>262</v>
      </c>
    </row>
    <row r="113" spans="2:3" x14ac:dyDescent="0.25">
      <c r="B113" s="14" t="s">
        <v>27</v>
      </c>
      <c r="C113" s="18">
        <v>163</v>
      </c>
    </row>
    <row r="114" spans="2:3" x14ac:dyDescent="0.25">
      <c r="B114" s="14" t="s">
        <v>408</v>
      </c>
      <c r="C114" s="18">
        <v>1387</v>
      </c>
    </row>
    <row r="132" spans="2:2" ht="15.75" x14ac:dyDescent="0.25">
      <c r="B132" s="25" t="s">
        <v>450</v>
      </c>
    </row>
    <row r="136" spans="2:2" ht="15.75" x14ac:dyDescent="0.25">
      <c r="B136" s="25" t="s">
        <v>461</v>
      </c>
    </row>
    <row r="142" spans="2:2" ht="18.75" x14ac:dyDescent="0.3">
      <c r="B142" s="24" t="s">
        <v>462</v>
      </c>
    </row>
    <row r="144" spans="2:2" ht="15.75" x14ac:dyDescent="0.25">
      <c r="B144" s="25" t="s">
        <v>467</v>
      </c>
    </row>
    <row r="146" spans="2:5" x14ac:dyDescent="0.25">
      <c r="B146" s="28" t="s">
        <v>10</v>
      </c>
      <c r="C146" s="15" t="s">
        <v>61</v>
      </c>
    </row>
    <row r="148" spans="2:5" x14ac:dyDescent="0.25">
      <c r="B148" s="15" t="s">
        <v>463</v>
      </c>
      <c r="C148" s="15" t="s">
        <v>464</v>
      </c>
      <c r="D148" s="15" t="s">
        <v>465</v>
      </c>
    </row>
    <row r="149" spans="2:5" x14ac:dyDescent="0.25">
      <c r="B149" s="11">
        <v>221920</v>
      </c>
      <c r="C149" s="11">
        <v>161760</v>
      </c>
      <c r="D149" s="11">
        <v>383680</v>
      </c>
    </row>
    <row r="150" spans="2:5" x14ac:dyDescent="0.25">
      <c r="E150" s="6"/>
    </row>
    <row r="167" spans="2:4" ht="15.75" x14ac:dyDescent="0.25">
      <c r="B167" s="25" t="s">
        <v>450</v>
      </c>
    </row>
    <row r="172" spans="2:4" ht="15.75" x14ac:dyDescent="0.25">
      <c r="B172" s="25" t="s">
        <v>468</v>
      </c>
    </row>
    <row r="174" spans="2:4" x14ac:dyDescent="0.25">
      <c r="B174" s="29" t="s">
        <v>417</v>
      </c>
      <c r="C174" s="15" t="s">
        <v>469</v>
      </c>
      <c r="D174" s="15" t="s">
        <v>470</v>
      </c>
    </row>
    <row r="175" spans="2:4" x14ac:dyDescent="0.25">
      <c r="B175" s="14" t="s">
        <v>61</v>
      </c>
      <c r="C175" s="11">
        <v>383680</v>
      </c>
      <c r="D175" s="10">
        <v>0.69512283448429391</v>
      </c>
    </row>
    <row r="176" spans="2:4" x14ac:dyDescent="0.25">
      <c r="B176" s="14" t="s">
        <v>47</v>
      </c>
      <c r="C176" s="11">
        <v>88080</v>
      </c>
      <c r="D176" s="10">
        <v>0.15957678081051033</v>
      </c>
    </row>
    <row r="177" spans="2:4" x14ac:dyDescent="0.25">
      <c r="B177" s="14" t="s">
        <v>32</v>
      </c>
      <c r="C177" s="11">
        <v>80200.000400000004</v>
      </c>
      <c r="D177" s="10">
        <v>0.14530038470519574</v>
      </c>
    </row>
    <row r="178" spans="2:4" x14ac:dyDescent="0.25">
      <c r="B178" s="14" t="s">
        <v>408</v>
      </c>
      <c r="C178" s="11">
        <v>551960.00040000002</v>
      </c>
      <c r="D178" s="10">
        <v>1</v>
      </c>
    </row>
    <row r="197" spans="2:2" ht="15.75" x14ac:dyDescent="0.25">
      <c r="B197" s="25" t="s">
        <v>450</v>
      </c>
    </row>
    <row r="203" spans="2:2" ht="15.75" x14ac:dyDescent="0.25">
      <c r="B203" s="25" t="s">
        <v>452</v>
      </c>
    </row>
  </sheetData>
  <mergeCells count="1">
    <mergeCell ref="B2:G3"/>
  </mergeCells>
  <pageMargins left="0.511811024" right="0.511811024" top="0.78740157499999996" bottom="0.78740157499999996" header="0.31496062000000002" footer="0.31496062000000002"/>
  <pageSetup paperSize="9" scale="24" orientation="portrait" r:id="rId6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A524-007D-42F4-8C8A-D26286B802FD}">
  <sheetPr>
    <pageSetUpPr fitToPage="1"/>
  </sheetPr>
  <dimension ref="B2:I110"/>
  <sheetViews>
    <sheetView showGridLines="0" tabSelected="1" topLeftCell="A10" zoomScaleNormal="100" workbookViewId="0">
      <selection activeCell="D2" sqref="D2:I3"/>
    </sheetView>
  </sheetViews>
  <sheetFormatPr defaultRowHeight="15" x14ac:dyDescent="0.25"/>
  <cols>
    <col min="3" max="3" width="57.140625" bestFit="1" customWidth="1"/>
    <col min="4" max="4" width="16.42578125" bestFit="1" customWidth="1"/>
    <col min="5" max="5" width="12.7109375" bestFit="1" customWidth="1"/>
    <col min="6" max="6" width="21.85546875" bestFit="1" customWidth="1"/>
    <col min="7" max="7" width="20.7109375" customWidth="1"/>
    <col min="8" max="8" width="12.7109375" bestFit="1" customWidth="1"/>
    <col min="9" max="9" width="13.85546875" bestFit="1" customWidth="1"/>
    <col min="10" max="24" width="4" bestFit="1" customWidth="1"/>
    <col min="25" max="50" width="5" bestFit="1" customWidth="1"/>
    <col min="51" max="51" width="10.7109375" bestFit="1" customWidth="1"/>
  </cols>
  <sheetData>
    <row r="2" spans="2:9" x14ac:dyDescent="0.25">
      <c r="D2" s="43" t="s">
        <v>473</v>
      </c>
      <c r="E2" s="43"/>
      <c r="F2" s="43"/>
      <c r="G2" s="43"/>
      <c r="H2" s="43"/>
      <c r="I2" s="43"/>
    </row>
    <row r="3" spans="2:9" x14ac:dyDescent="0.25">
      <c r="D3" s="43"/>
      <c r="E3" s="43"/>
      <c r="F3" s="43"/>
      <c r="G3" s="43"/>
      <c r="H3" s="43"/>
      <c r="I3" s="43"/>
    </row>
    <row r="5" spans="2:9" ht="18.75" x14ac:dyDescent="0.3">
      <c r="C5" s="24" t="s">
        <v>472</v>
      </c>
    </row>
    <row r="7" spans="2:9" ht="15.75" x14ac:dyDescent="0.25">
      <c r="C7" s="25" t="s">
        <v>471</v>
      </c>
    </row>
    <row r="9" spans="2:9" x14ac:dyDescent="0.25">
      <c r="C9" s="11" t="s">
        <v>474</v>
      </c>
      <c r="D9" s="11" t="s">
        <v>414</v>
      </c>
      <c r="E9" s="11" t="s">
        <v>469</v>
      </c>
      <c r="F9" s="11"/>
      <c r="G9" s="31" t="s">
        <v>475</v>
      </c>
      <c r="H9" s="31" t="s">
        <v>478</v>
      </c>
      <c r="I9" s="31" t="s">
        <v>470</v>
      </c>
    </row>
    <row r="10" spans="2:9" x14ac:dyDescent="0.25">
      <c r="C10" s="11">
        <v>209660</v>
      </c>
      <c r="D10" s="11">
        <v>342300.00040000002</v>
      </c>
      <c r="E10" s="11">
        <v>551960.00040000014</v>
      </c>
      <c r="F10" s="11"/>
      <c r="G10" s="34" t="s">
        <v>476</v>
      </c>
      <c r="H10" s="35">
        <f>D10</f>
        <v>342300.00040000002</v>
      </c>
      <c r="I10" s="36">
        <f>H10/H12</f>
        <v>0.62015363459659856</v>
      </c>
    </row>
    <row r="11" spans="2:9" x14ac:dyDescent="0.25">
      <c r="G11" s="34" t="s">
        <v>477</v>
      </c>
      <c r="H11" s="35">
        <f>C10</f>
        <v>209660</v>
      </c>
      <c r="I11" s="36">
        <f>H11/H12</f>
        <v>0.37984636540340144</v>
      </c>
    </row>
    <row r="12" spans="2:9" x14ac:dyDescent="0.25">
      <c r="G12" s="30" t="s">
        <v>408</v>
      </c>
      <c r="H12" s="32">
        <f>SUM(H10:H11)</f>
        <v>551960.00040000002</v>
      </c>
      <c r="I12" s="33">
        <f>SUM(I10:I11)</f>
        <v>1</v>
      </c>
    </row>
    <row r="13" spans="2:9" x14ac:dyDescent="0.25">
      <c r="B13" t="s">
        <v>412</v>
      </c>
    </row>
    <row r="16" spans="2:9" x14ac:dyDescent="0.25">
      <c r="G16" s="34"/>
      <c r="H16" s="35"/>
    </row>
    <row r="32" spans="3:3" ht="15.75" x14ac:dyDescent="0.25">
      <c r="C32" s="25" t="s">
        <v>450</v>
      </c>
    </row>
    <row r="38" spans="3:5" ht="15.75" x14ac:dyDescent="0.25">
      <c r="C38" s="25" t="s">
        <v>479</v>
      </c>
    </row>
    <row r="40" spans="3:5" x14ac:dyDescent="0.25">
      <c r="C40" s="37" t="s">
        <v>417</v>
      </c>
      <c r="D40" s="11" t="s">
        <v>480</v>
      </c>
      <c r="E40" s="11" t="s">
        <v>482</v>
      </c>
    </row>
    <row r="41" spans="3:5" x14ac:dyDescent="0.25">
      <c r="C41" s="11" t="s">
        <v>61</v>
      </c>
      <c r="D41" s="11">
        <v>383680</v>
      </c>
      <c r="E41" s="10">
        <v>0.69512283448429391</v>
      </c>
    </row>
    <row r="42" spans="3:5" x14ac:dyDescent="0.25">
      <c r="C42" s="11" t="s">
        <v>47</v>
      </c>
      <c r="D42" s="11">
        <v>88080</v>
      </c>
      <c r="E42" s="10">
        <v>0.15957678081051033</v>
      </c>
    </row>
    <row r="43" spans="3:5" x14ac:dyDescent="0.25">
      <c r="C43" s="11" t="s">
        <v>32</v>
      </c>
      <c r="D43" s="11">
        <v>80200.000400000004</v>
      </c>
      <c r="E43" s="10">
        <v>0.14530038470519574</v>
      </c>
    </row>
    <row r="44" spans="3:5" x14ac:dyDescent="0.25">
      <c r="C44" s="11" t="s">
        <v>408</v>
      </c>
      <c r="D44" s="11">
        <v>551960.00040000002</v>
      </c>
      <c r="E44" s="17">
        <v>1</v>
      </c>
    </row>
    <row r="67" spans="3:6" ht="15.75" x14ac:dyDescent="0.25">
      <c r="C67" s="25" t="s">
        <v>450</v>
      </c>
    </row>
    <row r="74" spans="3:6" ht="15.75" x14ac:dyDescent="0.25">
      <c r="C74" s="25" t="s">
        <v>481</v>
      </c>
    </row>
    <row r="76" spans="3:6" x14ac:dyDescent="0.25">
      <c r="C76" s="37" t="s">
        <v>417</v>
      </c>
      <c r="D76" s="11" t="s">
        <v>480</v>
      </c>
      <c r="E76" s="11" t="s">
        <v>482</v>
      </c>
      <c r="F76" s="11" t="s">
        <v>428</v>
      </c>
    </row>
    <row r="77" spans="3:6" x14ac:dyDescent="0.25">
      <c r="C77" s="11" t="s">
        <v>61</v>
      </c>
      <c r="D77" s="11">
        <v>383680</v>
      </c>
      <c r="E77" s="10">
        <v>0.69512283448429391</v>
      </c>
      <c r="F77" s="10">
        <v>0.69512283448429391</v>
      </c>
    </row>
    <row r="78" spans="3:6" x14ac:dyDescent="0.25">
      <c r="C78" s="11" t="s">
        <v>47</v>
      </c>
      <c r="D78" s="11">
        <v>88080</v>
      </c>
      <c r="E78" s="10">
        <v>0.15957678081051033</v>
      </c>
      <c r="F78" s="10">
        <v>0.8546996152948042</v>
      </c>
    </row>
    <row r="79" spans="3:6" x14ac:dyDescent="0.25">
      <c r="C79" s="11" t="s">
        <v>32</v>
      </c>
      <c r="D79" s="11">
        <v>80200.000400000004</v>
      </c>
      <c r="E79" s="10">
        <v>0.14530038470519574</v>
      </c>
      <c r="F79" s="10">
        <v>1</v>
      </c>
    </row>
    <row r="80" spans="3:6" x14ac:dyDescent="0.25">
      <c r="C80" s="11" t="s">
        <v>408</v>
      </c>
      <c r="D80" s="11">
        <v>551960.00040000002</v>
      </c>
      <c r="E80" s="17">
        <v>1</v>
      </c>
      <c r="F80" s="17"/>
    </row>
    <row r="102" spans="3:3" ht="15.75" x14ac:dyDescent="0.25">
      <c r="C102" s="25" t="s">
        <v>450</v>
      </c>
    </row>
    <row r="108" spans="3:3" ht="18.75" x14ac:dyDescent="0.3">
      <c r="C108" s="24" t="s">
        <v>483</v>
      </c>
    </row>
    <row r="110" spans="3:3" ht="18.75" x14ac:dyDescent="0.3">
      <c r="C110" s="24" t="s">
        <v>484</v>
      </c>
    </row>
  </sheetData>
  <mergeCells count="1">
    <mergeCell ref="D2:I3"/>
  </mergeCells>
  <pageMargins left="0.511811024" right="0.511811024" top="0.78740157499999996" bottom="0.78740157499999996" header="0.31496062000000002" footer="0.31496062000000002"/>
  <pageSetup paperSize="9" scale="42"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5BA9-268D-4BB7-84AC-46FE992C3A07}">
  <sheetPr>
    <pageSetUpPr fitToPage="1"/>
  </sheetPr>
  <dimension ref="B2:L28"/>
  <sheetViews>
    <sheetView showGridLines="0" topLeftCell="A28" workbookViewId="0">
      <selection activeCell="D35" sqref="D35"/>
    </sheetView>
  </sheetViews>
  <sheetFormatPr defaultRowHeight="15" x14ac:dyDescent="0.25"/>
  <sheetData>
    <row r="2" spans="2:12" ht="21" x14ac:dyDescent="0.35">
      <c r="C2" s="44" t="s">
        <v>485</v>
      </c>
      <c r="D2" s="44"/>
      <c r="E2" s="44"/>
      <c r="F2" s="44"/>
      <c r="G2" s="44"/>
      <c r="H2" s="44"/>
      <c r="I2" s="44"/>
      <c r="J2" s="44"/>
      <c r="K2" s="44"/>
      <c r="L2" s="44"/>
    </row>
    <row r="4" spans="2:12" ht="18.75" x14ac:dyDescent="0.3">
      <c r="B4" s="24" t="s">
        <v>486</v>
      </c>
    </row>
    <row r="6" spans="2:12" ht="15" customHeight="1" x14ac:dyDescent="0.3">
      <c r="B6" s="25" t="s">
        <v>487</v>
      </c>
      <c r="C6" s="24"/>
    </row>
    <row r="12" spans="2:12" ht="15.75" x14ac:dyDescent="0.25">
      <c r="B12" s="25" t="s">
        <v>488</v>
      </c>
    </row>
    <row r="21" spans="2:2" ht="15.75" x14ac:dyDescent="0.25">
      <c r="B21" s="25" t="s">
        <v>489</v>
      </c>
    </row>
    <row r="28" spans="2:2" ht="15.75" x14ac:dyDescent="0.25">
      <c r="B28" s="25" t="s">
        <v>490</v>
      </c>
    </row>
  </sheetData>
  <mergeCells count="1">
    <mergeCell ref="C2:L2"/>
  </mergeCells>
  <pageMargins left="0.511811024" right="0.511811024" top="0.78740157499999996" bottom="0.78740157499999996" header="0.31496062000000002" footer="0.31496062000000002"/>
  <pageSetup paperSize="9" scale="7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5E766F-046B-4682-A14C-65790A29C5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Base_Analitica_Producao</vt:lpstr>
      <vt:lpstr>Análise Executiva</vt:lpstr>
      <vt:lpstr>Dashboard Executivo</vt:lpstr>
      <vt:lpstr>Análise Técnica de Eficiência</vt:lpstr>
      <vt:lpstr>Análise Detalhada MAQ03</vt:lpstr>
      <vt:lpstr>Análise Financeira Global</vt:lpstr>
      <vt:lpstr>Conclusão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Neto</dc:creator>
  <cp:lastModifiedBy>Joao Neto</cp:lastModifiedBy>
  <cp:lastPrinted>2026-02-21T10:57:04Z</cp:lastPrinted>
  <dcterms:created xsi:type="dcterms:W3CDTF">2026-02-17T11:30:56Z</dcterms:created>
  <dcterms:modified xsi:type="dcterms:W3CDTF">2026-02-21T22:19:58Z</dcterms:modified>
</cp:coreProperties>
</file>